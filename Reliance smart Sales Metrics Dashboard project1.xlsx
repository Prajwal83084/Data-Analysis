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DELL\OneDrive\Desktop\project work samurai\"/>
    </mc:Choice>
  </mc:AlternateContent>
  <xr:revisionPtr revIDLastSave="0" documentId="8_{ABF9D56B-2ED1-4D7F-8B96-0BC711ADBD84}" xr6:coauthVersionLast="36" xr6:coauthVersionMax="36" xr10:uidLastSave="{00000000-0000-0000-0000-000000000000}"/>
  <bookViews>
    <workbookView xWindow="0" yWindow="0" windowWidth="20490" windowHeight="7245" activeTab="7" xr2:uid="{AE71A0A8-CEF7-4E56-8D0E-4E3D04EF6E66}"/>
  </bookViews>
  <sheets>
    <sheet name="RELIENCE DATASET " sheetId="1" r:id="rId1"/>
    <sheet name="KPI1" sheetId="3" r:id="rId2"/>
    <sheet name="KPI2" sheetId="4" r:id="rId3"/>
    <sheet name="KPI3" sheetId="5" r:id="rId4"/>
    <sheet name="KPI4" sheetId="6" r:id="rId5"/>
    <sheet name="KPI5" sheetId="2" r:id="rId6"/>
    <sheet name="KPI6" sheetId="9" r:id="rId7"/>
    <sheet name="Dashboard" sheetId="7" r:id="rId8"/>
  </sheets>
  <definedNames>
    <definedName name="Slicer_Month">#N/A</definedName>
    <definedName name="Slicer_Product_Name">#N/A</definedName>
    <definedName name="Slicer_Profit">#N/A</definedName>
    <definedName name="Slicer_Region">#N/A</definedName>
    <definedName name="Slicer_Sales_Valu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2" i="9" l="1"/>
  <c r="D11" i="9"/>
  <c r="D10" i="9"/>
  <c r="E12" i="9"/>
  <c r="E11" i="9"/>
  <c r="E10" i="9"/>
  <c r="E6" i="9"/>
  <c r="E7" i="9"/>
  <c r="E8" i="9"/>
  <c r="D7" i="9"/>
  <c r="D8" i="9"/>
  <c r="D6" i="9"/>
  <c r="L31" i="1" l="1"/>
  <c r="M31" i="1" s="1"/>
  <c r="N31" i="1" s="1"/>
  <c r="L30" i="1"/>
  <c r="M30" i="1" s="1"/>
  <c r="N30" i="1" s="1"/>
  <c r="L29" i="1"/>
  <c r="M29" i="1" s="1"/>
  <c r="N29" i="1" s="1"/>
  <c r="M28" i="1"/>
  <c r="N28" i="1" s="1"/>
  <c r="L28" i="1"/>
  <c r="M27" i="1"/>
  <c r="N27" i="1" s="1"/>
  <c r="L27" i="1"/>
  <c r="L26" i="1"/>
  <c r="M26" i="1" s="1"/>
  <c r="N26" i="1" s="1"/>
  <c r="N25" i="1"/>
  <c r="M25" i="1"/>
  <c r="L25" i="1"/>
  <c r="L24" i="1"/>
  <c r="M24" i="1" s="1"/>
  <c r="N24" i="1" s="1"/>
  <c r="L23" i="1"/>
  <c r="M23" i="1" s="1"/>
  <c r="N23" i="1" s="1"/>
  <c r="L22" i="1"/>
  <c r="M22" i="1" s="1"/>
  <c r="N22" i="1" s="1"/>
  <c r="L21" i="1"/>
  <c r="M21" i="1" s="1"/>
  <c r="N21" i="1" s="1"/>
  <c r="M20" i="1"/>
  <c r="N20" i="1" s="1"/>
  <c r="L20" i="1"/>
  <c r="M19" i="1"/>
  <c r="N19" i="1" s="1"/>
  <c r="L19" i="1"/>
  <c r="L18" i="1"/>
  <c r="M18" i="1" s="1"/>
  <c r="N18" i="1" s="1"/>
  <c r="N17" i="1"/>
  <c r="M17" i="1"/>
  <c r="L17" i="1"/>
  <c r="L16" i="1"/>
  <c r="M16" i="1" s="1"/>
  <c r="N16" i="1" s="1"/>
  <c r="L15" i="1"/>
  <c r="M15" i="1" s="1"/>
  <c r="N15" i="1" s="1"/>
  <c r="L14" i="1"/>
  <c r="M14" i="1" s="1"/>
  <c r="N14" i="1" s="1"/>
  <c r="L13" i="1"/>
  <c r="M13" i="1" s="1"/>
  <c r="N13" i="1" s="1"/>
  <c r="M12" i="1"/>
  <c r="N12" i="1" s="1"/>
  <c r="L12" i="1"/>
  <c r="M11" i="1"/>
  <c r="N11" i="1" s="1"/>
  <c r="L11" i="1"/>
  <c r="L10" i="1"/>
  <c r="M10" i="1" s="1"/>
  <c r="N10" i="1" s="1"/>
  <c r="N9" i="1"/>
  <c r="M9" i="1"/>
  <c r="L9" i="1"/>
  <c r="L8" i="1"/>
  <c r="M8" i="1" s="1"/>
  <c r="N8" i="1" s="1"/>
  <c r="L7" i="1"/>
  <c r="M7" i="1" s="1"/>
  <c r="N7" i="1" s="1"/>
  <c r="L6" i="1"/>
  <c r="M6" i="1" s="1"/>
  <c r="N6" i="1" s="1"/>
  <c r="L5" i="1"/>
  <c r="M5" i="1" s="1"/>
  <c r="N5" i="1" s="1"/>
  <c r="M4" i="1"/>
  <c r="N4" i="1" s="1"/>
  <c r="L4" i="1"/>
  <c r="M3" i="1"/>
  <c r="N3" i="1" s="1"/>
  <c r="L3" i="1"/>
  <c r="L2" i="1"/>
  <c r="M2" i="1" s="1"/>
  <c r="N2" i="1" s="1"/>
  <c r="A12" i="3"/>
  <c r="C12" i="5"/>
  <c r="C12" i="2"/>
  <c r="C2" i="7" l="1"/>
  <c r="F2" i="7"/>
  <c r="H2" i="7"/>
</calcChain>
</file>

<file path=xl/sharedStrings.xml><?xml version="1.0" encoding="utf-8"?>
<sst xmlns="http://schemas.openxmlformats.org/spreadsheetml/2006/main" count="273" uniqueCount="107">
  <si>
    <t>Order Date</t>
  </si>
  <si>
    <t>Product Code</t>
  </si>
  <si>
    <t>Product Name</t>
  </si>
  <si>
    <t>Price/Unit</t>
  </si>
  <si>
    <t>Basic Price</t>
  </si>
  <si>
    <t>Month</t>
  </si>
  <si>
    <t>Region</t>
  </si>
  <si>
    <t>Area</t>
  </si>
  <si>
    <t>Territory</t>
  </si>
  <si>
    <t>Agent</t>
  </si>
  <si>
    <t>Units Sold</t>
  </si>
  <si>
    <t>Sales Value</t>
  </si>
  <si>
    <t>Commission</t>
  </si>
  <si>
    <t>Profit</t>
  </si>
  <si>
    <t>PC019</t>
  </si>
  <si>
    <t>Dettol</t>
  </si>
  <si>
    <t>Jan</t>
  </si>
  <si>
    <t>East</t>
  </si>
  <si>
    <t>Assam</t>
  </si>
  <si>
    <t>Dispur</t>
  </si>
  <si>
    <t>ABC</t>
  </si>
  <si>
    <t>PC001</t>
  </si>
  <si>
    <t>Lux</t>
  </si>
  <si>
    <t>West</t>
  </si>
  <si>
    <t>Gujarat</t>
  </si>
  <si>
    <t>Vadodara</t>
  </si>
  <si>
    <t>GTC</t>
  </si>
  <si>
    <t>PC003</t>
  </si>
  <si>
    <t>Cello Pen</t>
  </si>
  <si>
    <t>North</t>
  </si>
  <si>
    <t>J&amp;K</t>
  </si>
  <si>
    <t>Jammu</t>
  </si>
  <si>
    <t>JKTC</t>
  </si>
  <si>
    <t>PC043</t>
  </si>
  <si>
    <t>Print Paper</t>
  </si>
  <si>
    <t>South</t>
  </si>
  <si>
    <t>Karnataka</t>
  </si>
  <si>
    <t>Bangalore</t>
  </si>
  <si>
    <t>KATC</t>
  </si>
  <si>
    <t>PC021</t>
  </si>
  <si>
    <t>Pepsodent</t>
  </si>
  <si>
    <t>Meghalaya</t>
  </si>
  <si>
    <t>Shillong</t>
  </si>
  <si>
    <t>MTC</t>
  </si>
  <si>
    <t>Feb</t>
  </si>
  <si>
    <t>Rajesthan</t>
  </si>
  <si>
    <t>Bikaner</t>
  </si>
  <si>
    <t>RTC</t>
  </si>
  <si>
    <t>HP</t>
  </si>
  <si>
    <t>Simla</t>
  </si>
  <si>
    <t>HPTC</t>
  </si>
  <si>
    <t>Kerala</t>
  </si>
  <si>
    <t>Kochi</t>
  </si>
  <si>
    <t>KETC</t>
  </si>
  <si>
    <t>Manipur</t>
  </si>
  <si>
    <t>Imphal</t>
  </si>
  <si>
    <t>MATC</t>
  </si>
  <si>
    <t>Ajmer</t>
  </si>
  <si>
    <t>Mar</t>
  </si>
  <si>
    <t>Punjab</t>
  </si>
  <si>
    <t>Amrithsar</t>
  </si>
  <si>
    <t>PTC</t>
  </si>
  <si>
    <t>TN</t>
  </si>
  <si>
    <t>Chennai</t>
  </si>
  <si>
    <t>TNTC</t>
  </si>
  <si>
    <t>Nagaland</t>
  </si>
  <si>
    <t>Kohima</t>
  </si>
  <si>
    <t>NTC</t>
  </si>
  <si>
    <t>Ahmedabad</t>
  </si>
  <si>
    <t>Uttaranchal</t>
  </si>
  <si>
    <t>Nanital</t>
  </si>
  <si>
    <t>UTC</t>
  </si>
  <si>
    <t>Apr</t>
  </si>
  <si>
    <t>AP</t>
  </si>
  <si>
    <t>Hyderabad</t>
  </si>
  <si>
    <t>APTC</t>
  </si>
  <si>
    <t>Tripura</t>
  </si>
  <si>
    <t>Agarthala</t>
  </si>
  <si>
    <t>TTC</t>
  </si>
  <si>
    <t>Maharastra</t>
  </si>
  <si>
    <t>Mumbai</t>
  </si>
  <si>
    <t>MHTC</t>
  </si>
  <si>
    <t>Delhi</t>
  </si>
  <si>
    <t>DTC</t>
  </si>
  <si>
    <t>Trichy</t>
  </si>
  <si>
    <t>Jun</t>
  </si>
  <si>
    <t>TRTC</t>
  </si>
  <si>
    <t>Nasik</t>
  </si>
  <si>
    <t>Kapurthala</t>
  </si>
  <si>
    <t>Warangal</t>
  </si>
  <si>
    <t>Arunachal Pradesh</t>
  </si>
  <si>
    <t>Itanagar</t>
  </si>
  <si>
    <t>ARTC</t>
  </si>
  <si>
    <t>Jul</t>
  </si>
  <si>
    <t>Jaipur</t>
  </si>
  <si>
    <t>Manali</t>
  </si>
  <si>
    <t>Kollam</t>
  </si>
  <si>
    <t>Bishnupur</t>
  </si>
  <si>
    <t>Row Labels</t>
  </si>
  <si>
    <t>Grand Total</t>
  </si>
  <si>
    <t>Sum of Profit</t>
  </si>
  <si>
    <t>Sum of Sales Value</t>
  </si>
  <si>
    <t xml:space="preserve">Sum of COST </t>
  </si>
  <si>
    <t>TOTAL SALES</t>
  </si>
  <si>
    <t xml:space="preserve">TOTAL COST </t>
  </si>
  <si>
    <r>
      <rPr>
        <b/>
        <sz val="11"/>
        <color theme="1"/>
        <rFont val="Arial Black"/>
        <family val="2"/>
      </rPr>
      <t>SUM OF PROFIT</t>
    </r>
    <r>
      <rPr>
        <sz val="11"/>
        <color theme="1"/>
        <rFont val="Calibri"/>
        <family val="2"/>
        <scheme val="minor"/>
      </rPr>
      <t xml:space="preserve"> </t>
    </r>
  </si>
  <si>
    <t>Dashboard reliance Smart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</si>
</sst>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sz val="10"/>
      <name val="Arial"/>
      <family val="2"/>
    </font>
    <font>
      <b/>
      <sz val="10"/>
      <color theme="0"/>
      <name val="Arial"/>
      <family val="2"/>
    </font>
    <font>
      <b/>
      <sz val="11"/>
      <color theme="0"/>
      <name val="Calibri"/>
      <family val="2"/>
      <scheme val="minor"/>
    </font>
    <font>
      <sz val="11"/>
      <color theme="0"/>
      <name val="Calibri"/>
      <family val="2"/>
      <scheme val="minor"/>
    </font>
    <font>
      <b/>
      <sz val="11"/>
      <color theme="1"/>
      <name val="Calibri"/>
      <family val="2"/>
      <scheme val="minor"/>
    </font>
    <font>
      <b/>
      <sz val="11"/>
      <color theme="1"/>
      <name val="Arial Black"/>
      <family val="2"/>
    </font>
    <font>
      <b/>
      <sz val="22"/>
      <color theme="0"/>
      <name val="Algerian"/>
      <family val="5"/>
    </font>
    <font>
      <b/>
      <sz val="12"/>
      <color theme="1"/>
      <name val="Calibri"/>
      <family val="2"/>
      <scheme val="minor"/>
    </font>
  </fonts>
  <fills count="5">
    <fill>
      <patternFill patternType="none"/>
    </fill>
    <fill>
      <patternFill patternType="gray125"/>
    </fill>
    <fill>
      <patternFill patternType="solid">
        <fgColor theme="9" tint="-0.249977111117893"/>
        <bgColor indexed="64"/>
      </patternFill>
    </fill>
    <fill>
      <patternFill patternType="solid">
        <fgColor theme="4"/>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 fillId="0" borderId="0"/>
  </cellStyleXfs>
  <cellXfs count="29">
    <xf numFmtId="0" fontId="0" fillId="0" borderId="0" xfId="0"/>
    <xf numFmtId="0" fontId="2" fillId="2" borderId="1" xfId="1" applyFont="1" applyFill="1" applyBorder="1" applyAlignment="1">
      <alignment horizontal="center" vertical="center"/>
    </xf>
    <xf numFmtId="0" fontId="2" fillId="2" borderId="1" xfId="1" applyFont="1" applyFill="1" applyBorder="1"/>
    <xf numFmtId="0" fontId="1" fillId="0" borderId="0" xfId="1"/>
    <xf numFmtId="14" fontId="1" fillId="0" borderId="1" xfId="1" applyNumberFormat="1" applyBorder="1" applyAlignment="1">
      <alignment horizontal="center" vertical="center"/>
    </xf>
    <xf numFmtId="0" fontId="1" fillId="0" borderId="1" xfId="1" applyBorder="1"/>
    <xf numFmtId="0" fontId="1" fillId="0" borderId="1" xfId="1" applyBorder="1" applyAlignment="1">
      <alignment horizontal="center" vertical="center"/>
    </xf>
    <xf numFmtId="0" fontId="1" fillId="0" borderId="0" xfId="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3" borderId="0" xfId="0" applyFill="1"/>
    <xf numFmtId="0" fontId="0" fillId="0" borderId="0" xfId="0" applyFill="1"/>
    <xf numFmtId="0" fontId="3" fillId="3" borderId="0" xfId="0" applyFont="1" applyFill="1" applyBorder="1" applyAlignment="1"/>
    <xf numFmtId="0" fontId="0" fillId="3" borderId="0" xfId="0" applyFill="1" applyBorder="1" applyAlignment="1"/>
    <xf numFmtId="0" fontId="4" fillId="0" borderId="0" xfId="0" applyFont="1" applyFill="1"/>
    <xf numFmtId="0" fontId="0" fillId="4" borderId="2" xfId="0" applyFont="1" applyFill="1" applyBorder="1" applyAlignment="1"/>
    <xf numFmtId="0" fontId="0" fillId="4" borderId="3" xfId="0" applyFont="1" applyFill="1" applyBorder="1" applyAlignment="1"/>
    <xf numFmtId="0" fontId="0" fillId="4" borderId="4" xfId="0" applyFont="1" applyFill="1" applyBorder="1" applyAlignment="1"/>
    <xf numFmtId="1" fontId="0" fillId="0" borderId="0" xfId="0" applyNumberFormat="1"/>
    <xf numFmtId="0" fontId="8" fillId="0" borderId="1" xfId="0" applyFont="1" applyBorder="1"/>
    <xf numFmtId="1" fontId="8" fillId="0" borderId="1" xfId="0" applyNumberFormat="1" applyFont="1" applyBorder="1"/>
    <xf numFmtId="0" fontId="7" fillId="3" borderId="0" xfId="0" applyFont="1" applyFill="1" applyBorder="1" applyAlignment="1">
      <alignment horizontal="center" vertical="center"/>
    </xf>
    <xf numFmtId="0" fontId="3" fillId="3" borderId="2" xfId="0" applyFont="1" applyFill="1" applyBorder="1" applyAlignment="1">
      <alignment horizontal="center"/>
    </xf>
    <xf numFmtId="0" fontId="3" fillId="3" borderId="3" xfId="0" applyFont="1" applyFill="1" applyBorder="1" applyAlignment="1">
      <alignment horizontal="center"/>
    </xf>
    <xf numFmtId="0" fontId="3" fillId="3" borderId="4" xfId="0" applyFont="1" applyFill="1" applyBorder="1" applyAlignment="1">
      <alignment horizontal="center"/>
    </xf>
    <xf numFmtId="0" fontId="5" fillId="4" borderId="2" xfId="0" applyFont="1" applyFill="1" applyBorder="1" applyAlignment="1">
      <alignment horizontal="center"/>
    </xf>
    <xf numFmtId="0" fontId="5" fillId="4" borderId="4" xfId="0" applyFont="1" applyFill="1" applyBorder="1" applyAlignment="1">
      <alignment horizontal="center"/>
    </xf>
  </cellXfs>
  <cellStyles count="2">
    <cellStyle name="Normal" xfId="0" builtinId="0"/>
    <cellStyle name="Normal 2 2" xfId="1" xr:uid="{6F060E25-9D47-4602-AC2D-AC7BA243F08D}"/>
  </cellStyles>
  <dxfs count="3">
    <dxf>
      <numFmt numFmtId="1" formatCode="0"/>
    </dxf>
    <dxf>
      <font>
        <color rgb="FFFF0000"/>
      </font>
      <fill>
        <patternFill>
          <bgColor rgb="FFFF0000"/>
        </patternFill>
      </fill>
    </dxf>
    <dxf>
      <font>
        <color rgb="FFFF0000"/>
      </font>
    </dxf>
  </dxfs>
  <tableStyles count="2" defaultTableStyle="TableStyleMedium2" defaultPivotStyle="PivotStyleLight16">
    <tableStyle name="Slicer Style 1" pivot="0" table="0" count="1" xr9:uid="{E3FF4DD2-D987-47BD-8BF0-38520EAB24F0}">
      <tableStyleElement type="wholeTable" dxfId="2"/>
    </tableStyle>
    <tableStyle name="Slicer Style 2" pivot="0" table="0" count="1" xr9:uid="{291BDB3E-1161-42F3-82D8-2C4F5430370D}">
      <tableStyleElement type="wholeTable" dxfId="1"/>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 DASHBOARD.xlsx]KPI1!PivotTable2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Total REGIONSWISE PROFIT</a:t>
            </a:r>
          </a:p>
        </c:rich>
      </c:tx>
      <c:layout>
        <c:manualLayout>
          <c:xMode val="edge"/>
          <c:yMode val="edge"/>
          <c:x val="0.28828653188735515"/>
          <c:y val="6.4372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'KPI1'!$B$3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'KPI1'!$A$4:$A$8</c:f>
              <c:strCache>
                <c:ptCount val="4"/>
                <c:pt idx="0">
                  <c:v>East</c:v>
                </c:pt>
                <c:pt idx="1">
                  <c:v>North</c:v>
                </c:pt>
                <c:pt idx="2">
                  <c:v>South</c:v>
                </c:pt>
                <c:pt idx="3">
                  <c:v>West</c:v>
                </c:pt>
              </c:strCache>
            </c:strRef>
          </c:cat>
          <c:val>
            <c:numRef>
              <c:f>'KPI1'!$B$4:$B$8</c:f>
              <c:numCache>
                <c:formatCode>General</c:formatCode>
                <c:ptCount val="4"/>
                <c:pt idx="0">
                  <c:v>28523.25</c:v>
                </c:pt>
                <c:pt idx="1">
                  <c:v>21916.5</c:v>
                </c:pt>
                <c:pt idx="2">
                  <c:v>36871.75</c:v>
                </c:pt>
                <c:pt idx="3">
                  <c:v>33533.5</c:v>
                </c:pt>
              </c:numCache>
            </c:numRef>
          </c:val>
          <c:extLst>
            <c:ext xmlns:c16="http://schemas.microsoft.com/office/drawing/2014/chart" uri="{C3380CC4-5D6E-409C-BE32-E72D297353CC}">
              <c16:uniqueId val="{00000000-BE3B-49F2-96E7-7DC8938D2ACC}"/>
            </c:ext>
          </c:extLst>
        </c:ser>
        <c:dLbls>
          <c:showLegendKey val="0"/>
          <c:showVal val="0"/>
          <c:showCatName val="0"/>
          <c:showSerName val="0"/>
          <c:showPercent val="0"/>
          <c:showBubbleSize val="0"/>
        </c:dLbls>
        <c:gapWidth val="150"/>
        <c:shape val="box"/>
        <c:axId val="2120883088"/>
        <c:axId val="380337712"/>
        <c:axId val="0"/>
      </c:bar3DChart>
      <c:catAx>
        <c:axId val="2120883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337712"/>
        <c:crosses val="autoZero"/>
        <c:auto val="1"/>
        <c:lblAlgn val="ctr"/>
        <c:lblOffset val="100"/>
        <c:noMultiLvlLbl val="0"/>
      </c:catAx>
      <c:valAx>
        <c:axId val="38033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883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gradFill>
        <a:gsLst>
          <a:gs pos="1000">
            <a:schemeClr val="accent1">
              <a:lumMod val="5000"/>
              <a:lumOff val="95000"/>
            </a:schemeClr>
          </a:gs>
          <a:gs pos="11000">
            <a:schemeClr val="accent1">
              <a:lumMod val="45000"/>
              <a:lumOff val="55000"/>
            </a:schemeClr>
          </a:gs>
          <a:gs pos="0">
            <a:schemeClr val="accent1">
              <a:lumMod val="45000"/>
              <a:lumOff val="55000"/>
            </a:schemeClr>
          </a:gs>
          <a:gs pos="0">
            <a:schemeClr val="accent1">
              <a:lumMod val="30000"/>
              <a:lumOff val="70000"/>
            </a:schemeClr>
          </a:gs>
        </a:gsLst>
        <a:lin ang="5400000" scaled="1"/>
      </a:gradFill>
      <a:round/>
    </a:ln>
    <a:effectLst>
      <a:outerShdw dist="50800" dir="5400000" sx="88000" sy="88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 DASHBOARD.xlsx]KPI2!PivotTable3</c:name>
    <c:fmtId val="0"/>
  </c:pivotSource>
  <c:chart>
    <c:title>
      <c:tx>
        <c:rich>
          <a:bodyPr rot="0" spcFirstLastPara="1" vertOverflow="ellipsis" vert="horz" wrap="square" anchor="ctr" anchorCtr="1"/>
          <a:lstStyle/>
          <a:p>
            <a:pPr>
              <a:defRPr lang="en-US" sz="1080" b="0" i="0" u="none" strike="noStrike" kern="1200" cap="all" spc="120" normalizeH="0" baseline="0">
                <a:ln w="6350" cap="rnd">
                  <a:solidFill>
                    <a:schemeClr val="accent1">
                      <a:lumMod val="50000"/>
                    </a:schemeClr>
                  </a:solidFill>
                  <a:bevel/>
                </a:ln>
                <a:solidFill>
                  <a:schemeClr val="accent1">
                    <a:lumMod val="75000"/>
                  </a:schemeClr>
                </a:solidFill>
                <a:effectLst/>
                <a:latin typeface="+mn-lt"/>
                <a:ea typeface="+mn-ea"/>
                <a:cs typeface="+mn-cs"/>
              </a:defRPr>
            </a:pPr>
            <a:r>
              <a:rPr lang="en-US">
                <a:ln w="6350" cap="rnd">
                  <a:solidFill>
                    <a:schemeClr val="accent1">
                      <a:lumMod val="50000"/>
                    </a:schemeClr>
                  </a:solidFill>
                  <a:bevel/>
                </a:ln>
                <a:solidFill>
                  <a:schemeClr val="accent1">
                    <a:lumMod val="75000"/>
                  </a:schemeClr>
                </a:solidFill>
              </a:rPr>
              <a:t>SUM OF SALE VALUE DATEWISE</a:t>
            </a:r>
          </a:p>
        </c:rich>
      </c:tx>
      <c:layout>
        <c:manualLayout>
          <c:xMode val="edge"/>
          <c:yMode val="edge"/>
          <c:x val="0.28663641165213111"/>
          <c:y val="7.1528250419756884E-2"/>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lang="en-US" sz="1080" b="0" i="0" u="none" strike="noStrike" kern="1200" cap="all" spc="120" normalizeH="0" baseline="0">
              <a:ln w="6350" cap="rnd">
                <a:solidFill>
                  <a:schemeClr val="accent1">
                    <a:lumMod val="50000"/>
                  </a:schemeClr>
                </a:solidFill>
                <a:bevel/>
              </a:ln>
              <a:solidFill>
                <a:schemeClr val="accent1">
                  <a:lumMod val="75000"/>
                </a:schemeClr>
              </a:solidFill>
              <a:effectLst/>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square"/>
          <c:size val="5"/>
          <c:spPr>
            <a:solidFill>
              <a:srgbClr val="002060"/>
            </a:solidFill>
            <a:ln w="9525">
              <a:solidFill>
                <a:schemeClr val="accent1"/>
              </a:solidFill>
              <a:round/>
            </a:ln>
            <a:effectLst/>
          </c:spPr>
        </c:marker>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anchor="ctr" anchorCtr="1"/>
            <a:lstStyle/>
            <a:p>
              <a:pPr>
                <a:defRPr lang="en-US" sz="900" b="0" i="0" u="none" strike="noStrike" kern="1200" baseline="0">
                  <a:ln>
                    <a:noFill/>
                  </a:ln>
                  <a:solidFill>
                    <a:schemeClr val="tx1"/>
                  </a:solidFill>
                  <a:effectLst/>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'KPI2'!$B$3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anchor="ctr" anchorCtr="1"/>
              <a:lstStyle/>
              <a:p>
                <a:pPr>
                  <a:defRPr lang="en-US" sz="900" b="0" i="0" u="none" strike="noStrike" kern="1200" baseline="0">
                    <a:ln>
                      <a:noFill/>
                    </a:ln>
                    <a:solidFill>
                      <a:schemeClr val="tx1"/>
                    </a:solidFill>
                    <a:effectLst/>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'KPI2'!$A$4:$A$10</c:f>
              <c:strCache>
                <c:ptCount val="6"/>
                <c:pt idx="0">
                  <c:v>Jan</c:v>
                </c:pt>
                <c:pt idx="1">
                  <c:v>Feb</c:v>
                </c:pt>
                <c:pt idx="2">
                  <c:v>Mar</c:v>
                </c:pt>
                <c:pt idx="3">
                  <c:v>Apr</c:v>
                </c:pt>
                <c:pt idx="4">
                  <c:v>Jun</c:v>
                </c:pt>
                <c:pt idx="5">
                  <c:v>Jul</c:v>
                </c:pt>
              </c:strCache>
            </c:strRef>
          </c:cat>
          <c:val>
            <c:numRef>
              <c:f>'KPI2'!$B$4:$B$10</c:f>
              <c:numCache>
                <c:formatCode>General</c:formatCode>
                <c:ptCount val="6"/>
                <c:pt idx="0">
                  <c:v>22800</c:v>
                </c:pt>
                <c:pt idx="1">
                  <c:v>42387.5</c:v>
                </c:pt>
                <c:pt idx="2">
                  <c:v>13937.5</c:v>
                </c:pt>
                <c:pt idx="3">
                  <c:v>13857</c:v>
                </c:pt>
                <c:pt idx="4">
                  <c:v>13560.25</c:v>
                </c:pt>
                <c:pt idx="5">
                  <c:v>14302.75</c:v>
                </c:pt>
              </c:numCache>
            </c:numRef>
          </c:val>
          <c:smooth val="0"/>
          <c:extLst>
            <c:ext xmlns:c16="http://schemas.microsoft.com/office/drawing/2014/chart" uri="{C3380CC4-5D6E-409C-BE32-E72D297353CC}">
              <c16:uniqueId val="{00000003-7F5D-4842-A749-08291D454938}"/>
            </c:ext>
          </c:extLst>
        </c:ser>
        <c:dLbls>
          <c:dLblPos val="b"/>
          <c:showLegendKey val="0"/>
          <c:showVal val="1"/>
          <c:showCatName val="0"/>
          <c:showSerName val="0"/>
          <c:showPercent val="0"/>
          <c:showBubbleSize val="0"/>
        </c:dLbls>
        <c:marker val="1"/>
        <c:smooth val="0"/>
        <c:axId val="287523776"/>
        <c:axId val="1061051120"/>
      </c:lineChart>
      <c:catAx>
        <c:axId val="28752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cap="all" spc="120" normalizeH="0" baseline="0">
                <a:ln>
                  <a:noFill/>
                </a:ln>
                <a:solidFill>
                  <a:schemeClr val="tx1"/>
                </a:solidFill>
                <a:effectLst/>
                <a:latin typeface="+mn-lt"/>
                <a:ea typeface="+mn-ea"/>
                <a:cs typeface="+mn-cs"/>
              </a:defRPr>
            </a:pPr>
            <a:endParaRPr lang="en-US"/>
          </a:p>
        </c:txPr>
        <c:crossAx val="1061051120"/>
        <c:crosses val="autoZero"/>
        <c:auto val="1"/>
        <c:lblAlgn val="ctr"/>
        <c:lblOffset val="100"/>
        <c:noMultiLvlLbl val="0"/>
      </c:catAx>
      <c:valAx>
        <c:axId val="106105112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latin typeface="+mn-lt"/>
                <a:ea typeface="+mn-ea"/>
                <a:cs typeface="+mn-cs"/>
              </a:defRPr>
            </a:pPr>
            <a:endParaRPr lang="en-US"/>
          </a:p>
        </c:txPr>
        <c:crossAx val="28752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ln>
                <a:noFill/>
              </a:ln>
              <a:solidFill>
                <a:schemeClr val="tx1"/>
              </a:solidFill>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lang="en-US" sz="900" b="0" i="0" u="none" strike="noStrike" kern="1200" baseline="0">
          <a:ln>
            <a:noFill/>
          </a:ln>
          <a:solidFill>
            <a:schemeClr val="tx1"/>
          </a:solidFill>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 DASHBOARD.xlsx]KPI3!PivotTable4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t>PRODUCT</a:t>
            </a:r>
            <a:r>
              <a:rPr lang="en-US" sz="1050" b="1" baseline="0"/>
              <a:t>WISE SALE AND PROFIT </a:t>
            </a:r>
            <a:endParaRPr lang="en-US" sz="105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'KPI3'!$B$3</c:f>
              <c:strCache>
                <c:ptCount val="1"/>
                <c:pt idx="0">
                  <c:v>Sum of Profit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'KPI3'!$A$4:$A$9</c:f>
              <c:strCache>
                <c:ptCount val="5"/>
                <c:pt idx="0">
                  <c:v>Cello Pen</c:v>
                </c:pt>
                <c:pt idx="1">
                  <c:v>Dettol</c:v>
                </c:pt>
                <c:pt idx="2">
                  <c:v>Lux</c:v>
                </c:pt>
                <c:pt idx="3">
                  <c:v>Pepsodent</c:v>
                </c:pt>
                <c:pt idx="4">
                  <c:v>Print Paper</c:v>
                </c:pt>
              </c:strCache>
            </c:strRef>
          </c:cat>
          <c:val>
            <c:numRef>
              <c:f>'KPI3'!$B$4:$B$9</c:f>
              <c:numCache>
                <c:formatCode>General</c:formatCode>
                <c:ptCount val="5"/>
                <c:pt idx="0">
                  <c:v>30417.75</c:v>
                </c:pt>
                <c:pt idx="1">
                  <c:v>14699.25</c:v>
                </c:pt>
                <c:pt idx="2">
                  <c:v>22208</c:v>
                </c:pt>
                <c:pt idx="3">
                  <c:v>42126</c:v>
                </c:pt>
                <c:pt idx="4">
                  <c:v>11394</c:v>
                </c:pt>
              </c:numCache>
            </c:numRef>
          </c:val>
          <c:extLst>
            <c:ext xmlns:c16="http://schemas.microsoft.com/office/drawing/2014/chart" uri="{C3380CC4-5D6E-409C-BE32-E72D297353CC}">
              <c16:uniqueId val="{00000000-4554-40DE-96F7-3C6565687090}"/>
            </c:ext>
          </c:extLst>
        </c:ser>
        <c:dLbls>
          <c:dLblPos val="ctr"/>
          <c:showLegendKey val="0"/>
          <c:showVal val="1"/>
          <c:showCatName val="0"/>
          <c:showSerName val="0"/>
          <c:showPercent val="0"/>
          <c:showBubbleSize val="0"/>
        </c:dLbls>
        <c:gapWidth val="50"/>
        <c:axId val="1076777472"/>
        <c:axId val="1061085648"/>
      </c:barChart>
      <c:lineChart>
        <c:grouping val="standard"/>
        <c:varyColors val="0"/>
        <c:ser>
          <c:idx val="1"/>
          <c:order val="1"/>
          <c:tx>
            <c:strRef>
              <c:f>'KPI3'!$C$3</c:f>
              <c:strCache>
                <c:ptCount val="1"/>
                <c:pt idx="0">
                  <c:v>Sum of Sales Value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'KPI3'!$A$4:$A$9</c:f>
              <c:strCache>
                <c:ptCount val="5"/>
                <c:pt idx="0">
                  <c:v>Cello Pen</c:v>
                </c:pt>
                <c:pt idx="1">
                  <c:v>Dettol</c:v>
                </c:pt>
                <c:pt idx="2">
                  <c:v>Lux</c:v>
                </c:pt>
                <c:pt idx="3">
                  <c:v>Pepsodent</c:v>
                </c:pt>
                <c:pt idx="4">
                  <c:v>Print Paper</c:v>
                </c:pt>
              </c:strCache>
            </c:strRef>
          </c:cat>
          <c:val>
            <c:numRef>
              <c:f>'KPI3'!$C$4:$C$9</c:f>
              <c:numCache>
                <c:formatCode>General</c:formatCode>
                <c:ptCount val="5"/>
                <c:pt idx="0">
                  <c:v>202785</c:v>
                </c:pt>
                <c:pt idx="1">
                  <c:v>359315</c:v>
                </c:pt>
                <c:pt idx="2">
                  <c:v>111040</c:v>
                </c:pt>
                <c:pt idx="3">
                  <c:v>361080</c:v>
                </c:pt>
                <c:pt idx="4">
                  <c:v>911520</c:v>
                </c:pt>
              </c:numCache>
            </c:numRef>
          </c:val>
          <c:smooth val="0"/>
          <c:extLst>
            <c:ext xmlns:c16="http://schemas.microsoft.com/office/drawing/2014/chart" uri="{C3380CC4-5D6E-409C-BE32-E72D297353CC}">
              <c16:uniqueId val="{00000001-4554-40DE-96F7-3C6565687090}"/>
            </c:ext>
          </c:extLst>
        </c:ser>
        <c:dLbls>
          <c:showLegendKey val="0"/>
          <c:showVal val="0"/>
          <c:showCatName val="0"/>
          <c:showSerName val="0"/>
          <c:showPercent val="0"/>
          <c:showBubbleSize val="0"/>
        </c:dLbls>
        <c:marker val="1"/>
        <c:smooth val="0"/>
        <c:axId val="1076788272"/>
        <c:axId val="455382896"/>
      </c:lineChart>
      <c:catAx>
        <c:axId val="107677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085648"/>
        <c:crosses val="autoZero"/>
        <c:auto val="1"/>
        <c:lblAlgn val="ctr"/>
        <c:lblOffset val="100"/>
        <c:noMultiLvlLbl val="0"/>
      </c:catAx>
      <c:valAx>
        <c:axId val="106108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777472"/>
        <c:crosses val="autoZero"/>
        <c:crossBetween val="between"/>
      </c:valAx>
      <c:valAx>
        <c:axId val="45538289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788272"/>
        <c:crosses val="max"/>
        <c:crossBetween val="between"/>
      </c:valAx>
      <c:catAx>
        <c:axId val="1076788272"/>
        <c:scaling>
          <c:orientation val="minMax"/>
        </c:scaling>
        <c:delete val="1"/>
        <c:axPos val="b"/>
        <c:numFmt formatCode="General" sourceLinked="1"/>
        <c:majorTickMark val="none"/>
        <c:minorTickMark val="none"/>
        <c:tickLblPos val="nextTo"/>
        <c:crossAx val="4553828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[DMART SALE DASHBOARD.xlsx]KPI4!PivotTable5</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100" b="1">
                <a:solidFill>
                  <a:sysClr val="windowText" lastClr="000000"/>
                </a:solidFill>
                <a:latin typeface="Times New Roman" panose="02020603050405020304" pitchFamily="18" charset="0"/>
                <a:cs typeface="Times New Roman" panose="02020603050405020304" pitchFamily="18" charset="0"/>
              </a:rPr>
              <a:t>TOP</a:t>
            </a:r>
            <a:r>
              <a:rPr lang="en-US" sz="1100" b="1" baseline="0">
                <a:solidFill>
                  <a:sysClr val="windowText" lastClr="000000"/>
                </a:solidFill>
                <a:latin typeface="Times New Roman" panose="02020603050405020304" pitchFamily="18" charset="0"/>
                <a:cs typeface="Times New Roman" panose="02020603050405020304" pitchFamily="18" charset="0"/>
              </a:rPr>
              <a:t> 10 SALE VALUE DATE</a:t>
            </a:r>
            <a:endParaRPr lang="en-US" sz="1100"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31543370045187508"/>
          <c:y val="4.725604068993820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w="25400">
            <a:noFill/>
          </a:ln>
          <a:effectLst/>
          <a:sp3d/>
        </c:spPr>
        <c:marker>
          <c:symbol val="none"/>
        </c:marker>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017148817544289"/>
          <c:y val="0.19802289909113432"/>
          <c:w val="0.75849955821830317"/>
          <c:h val="0.38300638339189313"/>
        </c:manualLayout>
      </c:layout>
      <c:area3DChart>
        <c:grouping val="standard"/>
        <c:varyColors val="0"/>
        <c:ser>
          <c:idx val="0"/>
          <c:order val="0"/>
          <c:tx>
            <c:strRef>
              <c:f>'KPI4'!$B$3</c:f>
              <c:strCache>
                <c:ptCount val="1"/>
                <c:pt idx="0">
                  <c:v>Total</c:v>
                </c:pt>
              </c:strCache>
            </c:strRef>
          </c:tx>
          <c:spPr>
            <a:solidFill>
              <a:schemeClr val="accent1"/>
            </a:solidFill>
            <a:ln w="25400">
              <a:noFill/>
            </a:ln>
            <a:effectLst/>
            <a:sp3d/>
          </c:spPr>
          <c:cat>
            <c:strRef>
              <c:f>'KPI4'!$A$4:$A$14</c:f>
              <c:strCache>
                <c:ptCount val="10"/>
                <c:pt idx="0">
                  <c:v>01-04-22</c:v>
                </c:pt>
                <c:pt idx="1">
                  <c:v>04-04-22</c:v>
                </c:pt>
                <c:pt idx="2">
                  <c:v>05-04-22</c:v>
                </c:pt>
                <c:pt idx="3">
                  <c:v>08-04-22</c:v>
                </c:pt>
                <c:pt idx="4">
                  <c:v>09-04-22</c:v>
                </c:pt>
                <c:pt idx="5">
                  <c:v>10-04-22</c:v>
                </c:pt>
                <c:pt idx="6">
                  <c:v>14-04-22</c:v>
                </c:pt>
                <c:pt idx="7">
                  <c:v>19-04-22</c:v>
                </c:pt>
                <c:pt idx="8">
                  <c:v>24-04-22</c:v>
                </c:pt>
                <c:pt idx="9">
                  <c:v>29-04-22</c:v>
                </c:pt>
              </c:strCache>
            </c:strRef>
          </c:cat>
          <c:val>
            <c:numRef>
              <c:f>'KPI4'!$B$4:$B$14</c:f>
              <c:numCache>
                <c:formatCode>General</c:formatCode>
                <c:ptCount val="10"/>
                <c:pt idx="0">
                  <c:v>110000</c:v>
                </c:pt>
                <c:pt idx="1">
                  <c:v>200000</c:v>
                </c:pt>
                <c:pt idx="2">
                  <c:v>78000</c:v>
                </c:pt>
                <c:pt idx="3">
                  <c:v>135000</c:v>
                </c:pt>
                <c:pt idx="4">
                  <c:v>128000</c:v>
                </c:pt>
                <c:pt idx="5">
                  <c:v>102000</c:v>
                </c:pt>
                <c:pt idx="6">
                  <c:v>124800</c:v>
                </c:pt>
                <c:pt idx="7">
                  <c:v>157600</c:v>
                </c:pt>
                <c:pt idx="8">
                  <c:v>157600</c:v>
                </c:pt>
                <c:pt idx="9">
                  <c:v>143520</c:v>
                </c:pt>
              </c:numCache>
            </c:numRef>
          </c:val>
          <c:extLst>
            <c:ext xmlns:c16="http://schemas.microsoft.com/office/drawing/2014/chart" uri="{C3380CC4-5D6E-409C-BE32-E72D297353CC}">
              <c16:uniqueId val="{00000001-47EE-4D7C-8C69-99924EE97ABF}"/>
            </c:ext>
          </c:extLst>
        </c:ser>
        <c:dLbls>
          <c:showLegendKey val="0"/>
          <c:showVal val="0"/>
          <c:showCatName val="0"/>
          <c:showSerName val="0"/>
          <c:showPercent val="0"/>
          <c:showBubbleSize val="0"/>
        </c:dLbls>
        <c:axId val="371704560"/>
        <c:axId val="414999744"/>
        <c:axId val="283306832"/>
      </c:area3DChart>
      <c:catAx>
        <c:axId val="371704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999744"/>
        <c:crosses val="autoZero"/>
        <c:auto val="1"/>
        <c:lblAlgn val="ctr"/>
        <c:lblOffset val="100"/>
        <c:noMultiLvlLbl val="0"/>
      </c:catAx>
      <c:valAx>
        <c:axId val="41499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704560"/>
        <c:crosses val="autoZero"/>
        <c:crossBetween val="midCat"/>
      </c:valAx>
      <c:serAx>
        <c:axId val="28330683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999744"/>
        <c:crosses val="autoZero"/>
      </c:serAx>
      <c:spPr>
        <a:noFill/>
        <a:ln>
          <a:noFill/>
        </a:ln>
        <a:effectLst/>
      </c:spPr>
    </c:plotArea>
    <c:legend>
      <c:legendPos val="b"/>
      <c:layout>
        <c:manualLayout>
          <c:xMode val="edge"/>
          <c:yMode val="edge"/>
          <c:x val="0.44339873027312021"/>
          <c:y val="0.85175617413563998"/>
          <c:w val="0.15305284357580901"/>
          <c:h val="0.113136605351794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 DASHBOARD.xlsx]KPI5!PivotTable1</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Top 5 territory </a:t>
            </a:r>
          </a:p>
        </c:rich>
      </c:tx>
      <c:layout>
        <c:manualLayout>
          <c:xMode val="edge"/>
          <c:yMode val="edge"/>
          <c:x val="0.43171522309711285"/>
          <c:y val="2.212744240303295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061970060864872"/>
          <c:y val="0.14167604790130672"/>
          <c:w val="0.42512098704153445"/>
          <c:h val="0.55842849732695032"/>
        </c:manualLayout>
      </c:layout>
      <c:doughnutChart>
        <c:varyColors val="1"/>
        <c:ser>
          <c:idx val="0"/>
          <c:order val="0"/>
          <c:tx>
            <c:strRef>
              <c:f>'KPI5'!$B$3</c:f>
              <c:strCache>
                <c:ptCount val="1"/>
                <c:pt idx="0">
                  <c:v>Sum of Sales Value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B98-4BC4-8854-E4DB01ECD76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B98-4BC4-8854-E4DB01ECD76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B98-4BC4-8854-E4DB01ECD76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B98-4BC4-8854-E4DB01ECD76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B98-4BC4-8854-E4DB01ECD7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'KPI5'!$A$4:$A$9</c:f>
              <c:strCache>
                <c:ptCount val="5"/>
                <c:pt idx="0">
                  <c:v>Bangalore</c:v>
                </c:pt>
                <c:pt idx="1">
                  <c:v>Bishnupur</c:v>
                </c:pt>
                <c:pt idx="2">
                  <c:v>Delhi</c:v>
                </c:pt>
                <c:pt idx="3">
                  <c:v>Kochi</c:v>
                </c:pt>
                <c:pt idx="4">
                  <c:v>Warangal</c:v>
                </c:pt>
              </c:strCache>
            </c:strRef>
          </c:cat>
          <c:val>
            <c:numRef>
              <c:f>'KPI5'!$B$4:$B$9</c:f>
              <c:numCache>
                <c:formatCode>General</c:formatCode>
                <c:ptCount val="5"/>
                <c:pt idx="0">
                  <c:v>200000</c:v>
                </c:pt>
                <c:pt idx="1">
                  <c:v>143520</c:v>
                </c:pt>
                <c:pt idx="2">
                  <c:v>157600</c:v>
                </c:pt>
                <c:pt idx="3">
                  <c:v>135000</c:v>
                </c:pt>
                <c:pt idx="4">
                  <c:v>157600</c:v>
                </c:pt>
              </c:numCache>
            </c:numRef>
          </c:val>
          <c:extLst>
            <c:ext xmlns:c16="http://schemas.microsoft.com/office/drawing/2014/chart" uri="{C3380CC4-5D6E-409C-BE32-E72D297353CC}">
              <c16:uniqueId val="{00000000-DCAC-49E1-B067-ED264686E313}"/>
            </c:ext>
          </c:extLst>
        </c:ser>
        <c:ser>
          <c:idx val="1"/>
          <c:order val="1"/>
          <c:tx>
            <c:strRef>
              <c:f>'KPI5'!$C$3</c:f>
              <c:strCache>
                <c:ptCount val="1"/>
                <c:pt idx="0">
                  <c:v>Sum of COST </c:v>
                </c:pt>
              </c:strCache>
            </c:strRef>
          </c:tx>
          <c:explosion val="2"/>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9B98-4BC4-8854-E4DB01ECD76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9B98-4BC4-8854-E4DB01ECD76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9B98-4BC4-8854-E4DB01ECD76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9B98-4BC4-8854-E4DB01ECD76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9B98-4BC4-8854-E4DB01ECD7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'KPI5'!$A$4:$A$9</c:f>
              <c:strCache>
                <c:ptCount val="5"/>
                <c:pt idx="0">
                  <c:v>Bangalore</c:v>
                </c:pt>
                <c:pt idx="1">
                  <c:v>Bishnupur</c:v>
                </c:pt>
                <c:pt idx="2">
                  <c:v>Delhi</c:v>
                </c:pt>
                <c:pt idx="3">
                  <c:v>Kochi</c:v>
                </c:pt>
                <c:pt idx="4">
                  <c:v>Warangal</c:v>
                </c:pt>
              </c:strCache>
            </c:strRef>
          </c:cat>
          <c:val>
            <c:numRef>
              <c:f>'KPI5'!$C$4:$C$9</c:f>
              <c:numCache>
                <c:formatCode>General</c:formatCode>
                <c:ptCount val="5"/>
                <c:pt idx="0">
                  <c:v>197500</c:v>
                </c:pt>
                <c:pt idx="1">
                  <c:v>141726</c:v>
                </c:pt>
                <c:pt idx="2">
                  <c:v>155630</c:v>
                </c:pt>
                <c:pt idx="3">
                  <c:v>114750</c:v>
                </c:pt>
                <c:pt idx="4">
                  <c:v>155630</c:v>
                </c:pt>
              </c:numCache>
            </c:numRef>
          </c:val>
          <c:extLst>
            <c:ext xmlns:c16="http://schemas.microsoft.com/office/drawing/2014/chart" uri="{C3380CC4-5D6E-409C-BE32-E72D297353CC}">
              <c16:uniqueId val="{00000001-DCAC-49E1-B067-ED264686E31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5.0000030563860438E-2"/>
          <c:y val="0.74922032706115482"/>
          <c:w val="0.89999993887227914"/>
          <c:h val="0.165224418938906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 DASHBOARD.xlsx]KPI1!PivotTable2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Regionwise Profit </a:t>
            </a:r>
            <a:endParaRPr lang="en-US" b="1"/>
          </a:p>
        </c:rich>
      </c:tx>
      <c:overlay val="0"/>
      <c:spPr>
        <a:gradFill flip="none" rotWithShape="1">
          <a:gsLst>
            <a:gs pos="75000">
              <a:srgbClr val="ADCDEA"/>
            </a:gs>
            <a:gs pos="100000">
              <a:schemeClr val="accent5">
                <a:lumMod val="0"/>
                <a:lumOff val="100000"/>
              </a:schemeClr>
            </a:gs>
            <a:gs pos="50000">
              <a:schemeClr val="accent5">
                <a:lumMod val="100000"/>
              </a:schemeClr>
            </a:gs>
          </a:gsLst>
          <a:path path="rect">
            <a:fillToRect l="100000" t="100000"/>
          </a:path>
          <a:tileRect r="-100000" b="-100000"/>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'KPI1'!$B$3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'KPI1'!$A$4:$A$8</c:f>
              <c:strCache>
                <c:ptCount val="4"/>
                <c:pt idx="0">
                  <c:v>East</c:v>
                </c:pt>
                <c:pt idx="1">
                  <c:v>North</c:v>
                </c:pt>
                <c:pt idx="2">
                  <c:v>South</c:v>
                </c:pt>
                <c:pt idx="3">
                  <c:v>West</c:v>
                </c:pt>
              </c:strCache>
            </c:strRef>
          </c:cat>
          <c:val>
            <c:numRef>
              <c:f>'KPI1'!$B$4:$B$8</c:f>
              <c:numCache>
                <c:formatCode>General</c:formatCode>
                <c:ptCount val="4"/>
                <c:pt idx="0">
                  <c:v>28523.25</c:v>
                </c:pt>
                <c:pt idx="1">
                  <c:v>21916.5</c:v>
                </c:pt>
                <c:pt idx="2">
                  <c:v>36871.75</c:v>
                </c:pt>
                <c:pt idx="3">
                  <c:v>33533.5</c:v>
                </c:pt>
              </c:numCache>
            </c:numRef>
          </c:val>
          <c:extLst>
            <c:ext xmlns:c16="http://schemas.microsoft.com/office/drawing/2014/chart" uri="{C3380CC4-5D6E-409C-BE32-E72D297353CC}">
              <c16:uniqueId val="{00000000-985D-4C08-86F5-04BA55CD8F99}"/>
            </c:ext>
          </c:extLst>
        </c:ser>
        <c:dLbls>
          <c:showLegendKey val="0"/>
          <c:showVal val="0"/>
          <c:showCatName val="0"/>
          <c:showSerName val="0"/>
          <c:showPercent val="0"/>
          <c:showBubbleSize val="0"/>
        </c:dLbls>
        <c:gapWidth val="150"/>
        <c:shape val="box"/>
        <c:axId val="2120883088"/>
        <c:axId val="380337712"/>
        <c:axId val="0"/>
      </c:bar3DChart>
      <c:catAx>
        <c:axId val="2120883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337712"/>
        <c:crosses val="autoZero"/>
        <c:auto val="1"/>
        <c:lblAlgn val="ctr"/>
        <c:lblOffset val="100"/>
        <c:noMultiLvlLbl val="0"/>
      </c:catAx>
      <c:valAx>
        <c:axId val="380337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883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 DASHBOARD.xlsx]KPI2!PivotTable3</c:name>
    <c:fmtId val="2"/>
  </c:pivotSource>
  <c:chart>
    <c:title>
      <c:tx>
        <c:rich>
          <a:bodyPr rot="0" spcFirstLastPara="1" vertOverflow="ellipsis" vert="horz" wrap="square" anchor="ctr" anchorCtr="1"/>
          <a:lstStyle/>
          <a:p>
            <a:pPr>
              <a:defRPr lang="en-US" sz="1080" b="0" i="0" u="none" strike="noStrike" kern="1200" cap="all" spc="120" normalizeH="0" baseline="0">
                <a:ln w="6350" cap="rnd">
                  <a:solidFill>
                    <a:schemeClr val="accent1">
                      <a:lumMod val="50000"/>
                    </a:schemeClr>
                  </a:solidFill>
                  <a:bevel/>
                </a:ln>
                <a:solidFill>
                  <a:schemeClr val="accent1">
                    <a:lumMod val="75000"/>
                  </a:schemeClr>
                </a:solidFill>
                <a:effectLst/>
                <a:latin typeface="+mn-lt"/>
                <a:ea typeface="+mn-ea"/>
                <a:cs typeface="+mn-cs"/>
              </a:defRPr>
            </a:pPr>
            <a:r>
              <a:rPr lang="en-US">
                <a:ln w="6350" cap="rnd">
                  <a:solidFill>
                    <a:schemeClr val="accent1">
                      <a:lumMod val="50000"/>
                    </a:schemeClr>
                  </a:solidFill>
                  <a:bevel/>
                </a:ln>
                <a:solidFill>
                  <a:schemeClr val="accent1">
                    <a:lumMod val="75000"/>
                  </a:schemeClr>
                </a:solidFill>
              </a:rPr>
              <a:t>SUM OF SALE VALUE DATEWISE</a:t>
            </a:r>
          </a:p>
        </c:rich>
      </c:tx>
      <c:layout>
        <c:manualLayout>
          <c:xMode val="edge"/>
          <c:yMode val="edge"/>
          <c:x val="0.28663641165213111"/>
          <c:y val="7.1528250419756884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lang="en-US" sz="1080" b="0" i="0" u="none" strike="noStrike" kern="1200" cap="all" spc="120" normalizeH="0" baseline="0">
              <a:ln w="6350" cap="rnd">
                <a:solidFill>
                  <a:schemeClr val="accent1">
                    <a:lumMod val="50000"/>
                  </a:schemeClr>
                </a:solidFill>
                <a:bevel/>
              </a:ln>
              <a:solidFill>
                <a:schemeClr val="accent1">
                  <a:lumMod val="75000"/>
                </a:schemeClr>
              </a:solidFill>
              <a:effectLst/>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square"/>
          <c:size val="5"/>
          <c:spPr>
            <a:solidFill>
              <a:srgbClr val="002060"/>
            </a:solidFill>
            <a:ln w="9525">
              <a:solidFill>
                <a:schemeClr val="accent1"/>
              </a:solidFill>
              <a:round/>
            </a:ln>
            <a:effectLst/>
          </c:spPr>
        </c:marker>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anchor="ctr" anchorCtr="1"/>
            <a:lstStyle/>
            <a:p>
              <a:pPr>
                <a:defRPr lang="en-US" sz="900" b="0" i="0" u="none" strike="noStrike" kern="1200" baseline="0">
                  <a:ln>
                    <a:noFill/>
                  </a:ln>
                  <a:solidFill>
                    <a:schemeClr val="tx1"/>
                  </a:solidFill>
                  <a:effectLst/>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anchor="ctr" anchorCtr="1"/>
            <a:lstStyle/>
            <a:p>
              <a:pPr>
                <a:defRPr lang="en-US" sz="900" b="0" i="0" u="none" strike="noStrike" kern="1200" baseline="0">
                  <a:ln>
                    <a:noFill/>
                  </a:ln>
                  <a:solidFill>
                    <a:schemeClr val="tx1"/>
                  </a:solidFill>
                  <a:effectLst/>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anchor="ctr" anchorCtr="1"/>
            <a:lstStyle/>
            <a:p>
              <a:pPr>
                <a:defRPr lang="en-US" sz="900" b="0" i="0" u="none" strike="noStrike" kern="1200" baseline="0">
                  <a:ln>
                    <a:noFill/>
                  </a:ln>
                  <a:solidFill>
                    <a:schemeClr val="tx1"/>
                  </a:solidFill>
                  <a:effectLst/>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'KPI2'!$B$3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anchor="ctr" anchorCtr="1"/>
              <a:lstStyle/>
              <a:p>
                <a:pPr>
                  <a:defRPr lang="en-US" sz="900" b="0" i="0" u="none" strike="noStrike" kern="1200" baseline="0">
                    <a:ln>
                      <a:noFill/>
                    </a:ln>
                    <a:solidFill>
                      <a:schemeClr val="tx1"/>
                    </a:solidFill>
                    <a:effectLst/>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'KPI2'!$A$4:$A$10</c:f>
              <c:strCache>
                <c:ptCount val="6"/>
                <c:pt idx="0">
                  <c:v>Jan</c:v>
                </c:pt>
                <c:pt idx="1">
                  <c:v>Feb</c:v>
                </c:pt>
                <c:pt idx="2">
                  <c:v>Mar</c:v>
                </c:pt>
                <c:pt idx="3">
                  <c:v>Apr</c:v>
                </c:pt>
                <c:pt idx="4">
                  <c:v>Jun</c:v>
                </c:pt>
                <c:pt idx="5">
                  <c:v>Jul</c:v>
                </c:pt>
              </c:strCache>
            </c:strRef>
          </c:cat>
          <c:val>
            <c:numRef>
              <c:f>'KPI2'!$B$4:$B$10</c:f>
              <c:numCache>
                <c:formatCode>General</c:formatCode>
                <c:ptCount val="6"/>
                <c:pt idx="0">
                  <c:v>22800</c:v>
                </c:pt>
                <c:pt idx="1">
                  <c:v>42387.5</c:v>
                </c:pt>
                <c:pt idx="2">
                  <c:v>13937.5</c:v>
                </c:pt>
                <c:pt idx="3">
                  <c:v>13857</c:v>
                </c:pt>
                <c:pt idx="4">
                  <c:v>13560.25</c:v>
                </c:pt>
                <c:pt idx="5">
                  <c:v>14302.75</c:v>
                </c:pt>
              </c:numCache>
            </c:numRef>
          </c:val>
          <c:smooth val="0"/>
          <c:extLst>
            <c:ext xmlns:c16="http://schemas.microsoft.com/office/drawing/2014/chart" uri="{C3380CC4-5D6E-409C-BE32-E72D297353CC}">
              <c16:uniqueId val="{00000000-12AC-4229-AF63-9551AF48FF12}"/>
            </c:ext>
          </c:extLst>
        </c:ser>
        <c:dLbls>
          <c:dLblPos val="b"/>
          <c:showLegendKey val="0"/>
          <c:showVal val="1"/>
          <c:showCatName val="0"/>
          <c:showSerName val="0"/>
          <c:showPercent val="0"/>
          <c:showBubbleSize val="0"/>
        </c:dLbls>
        <c:marker val="1"/>
        <c:smooth val="0"/>
        <c:axId val="287523776"/>
        <c:axId val="1061051120"/>
      </c:lineChart>
      <c:catAx>
        <c:axId val="28752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cap="all" spc="120" normalizeH="0" baseline="0">
                <a:ln>
                  <a:noFill/>
                </a:ln>
                <a:solidFill>
                  <a:schemeClr val="tx1"/>
                </a:solidFill>
                <a:effectLst/>
                <a:latin typeface="+mn-lt"/>
                <a:ea typeface="+mn-ea"/>
                <a:cs typeface="+mn-cs"/>
              </a:defRPr>
            </a:pPr>
            <a:endParaRPr lang="en-US"/>
          </a:p>
        </c:txPr>
        <c:crossAx val="1061051120"/>
        <c:crosses val="autoZero"/>
        <c:auto val="1"/>
        <c:lblAlgn val="ctr"/>
        <c:lblOffset val="100"/>
        <c:noMultiLvlLbl val="0"/>
      </c:catAx>
      <c:valAx>
        <c:axId val="106105112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noFill/>
                </a:ln>
                <a:solidFill>
                  <a:schemeClr val="tx1"/>
                </a:solidFill>
                <a:effectLst/>
                <a:latin typeface="+mn-lt"/>
                <a:ea typeface="+mn-ea"/>
                <a:cs typeface="+mn-cs"/>
              </a:defRPr>
            </a:pPr>
            <a:endParaRPr lang="en-US"/>
          </a:p>
        </c:txPr>
        <c:crossAx val="287523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lang="en-US" sz="900" b="0" i="0" u="none" strike="noStrike" kern="1200" baseline="0">
          <a:ln>
            <a:noFill/>
          </a:ln>
          <a:solidFill>
            <a:schemeClr val="tx1"/>
          </a:solidFill>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 DASHBOARD.xlsx]KPI3!PivotTable4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t>PRODUCT</a:t>
            </a:r>
            <a:r>
              <a:rPr lang="en-US" sz="1050" b="1" baseline="0"/>
              <a:t>WISE SALE AND PROFIT </a:t>
            </a:r>
            <a:endParaRPr lang="en-US" sz="1050" b="1"/>
          </a:p>
        </c:rich>
      </c:tx>
      <c:overlay val="0"/>
      <c:spPr>
        <a:gradFill>
          <a:gsLst>
            <a:gs pos="75000">
              <a:srgbClr val="ADCDEA"/>
            </a:gs>
            <a:gs pos="100000">
              <a:schemeClr val="accent5">
                <a:lumMod val="0"/>
                <a:lumOff val="100000"/>
              </a:schemeClr>
            </a:gs>
            <a:gs pos="50000">
              <a:schemeClr val="accent5">
                <a:lumMod val="100000"/>
              </a:schemeClr>
            </a:gs>
          </a:gsLst>
          <a:path path="rect">
            <a:fillToRect l="100000" t="100000"/>
          </a:path>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'KPI3'!$B$3</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'KPI3'!$A$4:$A$9</c:f>
              <c:strCache>
                <c:ptCount val="5"/>
                <c:pt idx="0">
                  <c:v>Cello Pen</c:v>
                </c:pt>
                <c:pt idx="1">
                  <c:v>Dettol</c:v>
                </c:pt>
                <c:pt idx="2">
                  <c:v>Lux</c:v>
                </c:pt>
                <c:pt idx="3">
                  <c:v>Pepsodent</c:v>
                </c:pt>
                <c:pt idx="4">
                  <c:v>Print Paper</c:v>
                </c:pt>
              </c:strCache>
            </c:strRef>
          </c:cat>
          <c:val>
            <c:numRef>
              <c:f>'KPI3'!$B$4:$B$9</c:f>
              <c:numCache>
                <c:formatCode>General</c:formatCode>
                <c:ptCount val="5"/>
                <c:pt idx="0">
                  <c:v>30417.75</c:v>
                </c:pt>
                <c:pt idx="1">
                  <c:v>14699.25</c:v>
                </c:pt>
                <c:pt idx="2">
                  <c:v>22208</c:v>
                </c:pt>
                <c:pt idx="3">
                  <c:v>42126</c:v>
                </c:pt>
                <c:pt idx="4">
                  <c:v>11394</c:v>
                </c:pt>
              </c:numCache>
            </c:numRef>
          </c:val>
          <c:extLst>
            <c:ext xmlns:c16="http://schemas.microsoft.com/office/drawing/2014/chart" uri="{C3380CC4-5D6E-409C-BE32-E72D297353CC}">
              <c16:uniqueId val="{00000000-B514-4F59-8A09-81F311BD68CB}"/>
            </c:ext>
          </c:extLst>
        </c:ser>
        <c:dLbls>
          <c:dLblPos val="ctr"/>
          <c:showLegendKey val="0"/>
          <c:showVal val="1"/>
          <c:showCatName val="0"/>
          <c:showSerName val="0"/>
          <c:showPercent val="0"/>
          <c:showBubbleSize val="0"/>
        </c:dLbls>
        <c:gapWidth val="50"/>
        <c:axId val="1076777472"/>
        <c:axId val="1061085648"/>
      </c:barChart>
      <c:lineChart>
        <c:grouping val="standard"/>
        <c:varyColors val="0"/>
        <c:ser>
          <c:idx val="1"/>
          <c:order val="1"/>
          <c:tx>
            <c:strRef>
              <c:f>'KPI3'!$C$3</c:f>
              <c:strCache>
                <c:ptCount val="1"/>
                <c:pt idx="0">
                  <c:v>Sum of Sales Value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'KPI3'!$A$4:$A$9</c:f>
              <c:strCache>
                <c:ptCount val="5"/>
                <c:pt idx="0">
                  <c:v>Cello Pen</c:v>
                </c:pt>
                <c:pt idx="1">
                  <c:v>Dettol</c:v>
                </c:pt>
                <c:pt idx="2">
                  <c:v>Lux</c:v>
                </c:pt>
                <c:pt idx="3">
                  <c:v>Pepsodent</c:v>
                </c:pt>
                <c:pt idx="4">
                  <c:v>Print Paper</c:v>
                </c:pt>
              </c:strCache>
            </c:strRef>
          </c:cat>
          <c:val>
            <c:numRef>
              <c:f>'KPI3'!$C$4:$C$9</c:f>
              <c:numCache>
                <c:formatCode>General</c:formatCode>
                <c:ptCount val="5"/>
                <c:pt idx="0">
                  <c:v>202785</c:v>
                </c:pt>
                <c:pt idx="1">
                  <c:v>359315</c:v>
                </c:pt>
                <c:pt idx="2">
                  <c:v>111040</c:v>
                </c:pt>
                <c:pt idx="3">
                  <c:v>361080</c:v>
                </c:pt>
                <c:pt idx="4">
                  <c:v>911520</c:v>
                </c:pt>
              </c:numCache>
            </c:numRef>
          </c:val>
          <c:smooth val="0"/>
          <c:extLst>
            <c:ext xmlns:c16="http://schemas.microsoft.com/office/drawing/2014/chart" uri="{C3380CC4-5D6E-409C-BE32-E72D297353CC}">
              <c16:uniqueId val="{00000001-B514-4F59-8A09-81F311BD68CB}"/>
            </c:ext>
          </c:extLst>
        </c:ser>
        <c:dLbls>
          <c:showLegendKey val="0"/>
          <c:showVal val="0"/>
          <c:showCatName val="0"/>
          <c:showSerName val="0"/>
          <c:showPercent val="0"/>
          <c:showBubbleSize val="0"/>
        </c:dLbls>
        <c:marker val="1"/>
        <c:smooth val="0"/>
        <c:axId val="1076788272"/>
        <c:axId val="455382896"/>
      </c:lineChart>
      <c:catAx>
        <c:axId val="107677747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t" anchorCtr="1"/>
          <a:lstStyle/>
          <a:p>
            <a:pPr>
              <a:defRPr sz="900" b="0" i="0" u="none" strike="noStrike" kern="1200" baseline="0">
                <a:ln>
                  <a:noFill/>
                </a:ln>
                <a:solidFill>
                  <a:schemeClr val="tx1"/>
                </a:solidFill>
                <a:latin typeface="+mn-lt"/>
                <a:ea typeface="+mn-ea"/>
                <a:cs typeface="+mn-cs"/>
              </a:defRPr>
            </a:pPr>
            <a:endParaRPr lang="en-US"/>
          </a:p>
        </c:txPr>
        <c:crossAx val="1061085648"/>
        <c:crosses val="autoZero"/>
        <c:auto val="1"/>
        <c:lblAlgn val="ctr"/>
        <c:lblOffset val="100"/>
        <c:noMultiLvlLbl val="0"/>
      </c:catAx>
      <c:valAx>
        <c:axId val="106108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777472"/>
        <c:crosses val="autoZero"/>
        <c:crossBetween val="between"/>
      </c:valAx>
      <c:valAx>
        <c:axId val="45538289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788272"/>
        <c:crosses val="max"/>
        <c:crossBetween val="between"/>
      </c:valAx>
      <c:catAx>
        <c:axId val="1076788272"/>
        <c:scaling>
          <c:orientation val="minMax"/>
        </c:scaling>
        <c:delete val="1"/>
        <c:axPos val="b"/>
        <c:numFmt formatCode="General" sourceLinked="1"/>
        <c:majorTickMark val="none"/>
        <c:minorTickMark val="none"/>
        <c:tickLblPos val="nextTo"/>
        <c:crossAx val="455382896"/>
        <c:crosses val="autoZero"/>
        <c:auto val="1"/>
        <c:lblAlgn val="ctr"/>
        <c:lblOffset val="100"/>
        <c:noMultiLvlLbl val="0"/>
      </c:catAx>
      <c:spPr>
        <a:noFill/>
        <a:ln>
          <a:noFill/>
        </a:ln>
        <a:effectLst/>
      </c:spPr>
    </c:plotArea>
    <c:legend>
      <c:legendPos val="b"/>
      <c:layout>
        <c:manualLayout>
          <c:xMode val="edge"/>
          <c:yMode val="edge"/>
          <c:x val="0.11890006523751005"/>
          <c:y val="0.71865105422707776"/>
          <c:w val="0.70054283676968121"/>
          <c:h val="7.087156540856746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[DMART SALE DASHBOARD.xlsx]KPI4!PivotTable5</c:name>
    <c:fmtId val="2"/>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TOP 10 SALE VALUE DATE</a:t>
            </a:r>
          </a:p>
        </c:rich>
      </c:tx>
      <c:layout>
        <c:manualLayout>
          <c:xMode val="edge"/>
          <c:yMode val="edge"/>
          <c:x val="0.31543370045187508"/>
          <c:y val="4.7256040689938203E-2"/>
        </c:manualLayout>
      </c:layout>
      <c:overlay val="0"/>
      <c:spPr>
        <a:gradFill>
          <a:gsLst>
            <a:gs pos="75000">
              <a:srgbClr val="ADCDEA"/>
            </a:gs>
            <a:gs pos="100000">
              <a:schemeClr val="accent5">
                <a:lumMod val="0"/>
                <a:lumOff val="100000"/>
              </a:schemeClr>
            </a:gs>
            <a:gs pos="50000">
              <a:schemeClr val="accent5">
                <a:lumMod val="100000"/>
              </a:schemeClr>
            </a:gs>
          </a:gsLst>
          <a:path path="rect">
            <a:fillToRect l="100000" t="100000"/>
          </a:path>
        </a:grad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w="25400">
            <a:noFill/>
          </a:ln>
          <a:effectLst/>
          <a:sp3d/>
        </c:spPr>
        <c:marker>
          <c:symbol val="none"/>
        </c:marker>
      </c:pivotFmt>
      <c:pivotFmt>
        <c:idx val="2"/>
        <c:spPr>
          <a:solidFill>
            <a:schemeClr val="accent1"/>
          </a:solidFill>
          <a:ln w="25400">
            <a:noFill/>
          </a:ln>
          <a:effectLst/>
          <a:sp3d/>
        </c:spPr>
        <c:marker>
          <c:symbol val="none"/>
        </c:marker>
      </c:pivotFmt>
      <c:pivotFmt>
        <c:idx val="3"/>
        <c:spPr>
          <a:solidFill>
            <a:schemeClr val="accent1"/>
          </a:solidFill>
          <a:ln w="25400">
            <a:noFill/>
          </a:ln>
          <a:effectLst/>
          <a:sp3d/>
        </c:spPr>
        <c:marker>
          <c:symbol val="none"/>
        </c:marker>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017148817544289"/>
          <c:y val="0.19802289909113432"/>
          <c:w val="0.75849955821830317"/>
          <c:h val="0.38300638339189313"/>
        </c:manualLayout>
      </c:layout>
      <c:area3DChart>
        <c:grouping val="standard"/>
        <c:varyColors val="0"/>
        <c:ser>
          <c:idx val="0"/>
          <c:order val="0"/>
          <c:tx>
            <c:strRef>
              <c:f>'KPI4'!$B$3</c:f>
              <c:strCache>
                <c:ptCount val="1"/>
                <c:pt idx="0">
                  <c:v>Total</c:v>
                </c:pt>
              </c:strCache>
            </c:strRef>
          </c:tx>
          <c:spPr>
            <a:solidFill>
              <a:schemeClr val="accent1"/>
            </a:solidFill>
            <a:ln w="25400">
              <a:noFill/>
            </a:ln>
            <a:effectLst/>
            <a:sp3d/>
          </c:spPr>
          <c:cat>
            <c:strRef>
              <c:f>'KPI4'!$A$4:$A$14</c:f>
              <c:strCache>
                <c:ptCount val="10"/>
                <c:pt idx="0">
                  <c:v>01-04-22</c:v>
                </c:pt>
                <c:pt idx="1">
                  <c:v>04-04-22</c:v>
                </c:pt>
                <c:pt idx="2">
                  <c:v>05-04-22</c:v>
                </c:pt>
                <c:pt idx="3">
                  <c:v>08-04-22</c:v>
                </c:pt>
                <c:pt idx="4">
                  <c:v>09-04-22</c:v>
                </c:pt>
                <c:pt idx="5">
                  <c:v>10-04-22</c:v>
                </c:pt>
                <c:pt idx="6">
                  <c:v>14-04-22</c:v>
                </c:pt>
                <c:pt idx="7">
                  <c:v>19-04-22</c:v>
                </c:pt>
                <c:pt idx="8">
                  <c:v>24-04-22</c:v>
                </c:pt>
                <c:pt idx="9">
                  <c:v>29-04-22</c:v>
                </c:pt>
              </c:strCache>
            </c:strRef>
          </c:cat>
          <c:val>
            <c:numRef>
              <c:f>'KPI4'!$B$4:$B$14</c:f>
              <c:numCache>
                <c:formatCode>General</c:formatCode>
                <c:ptCount val="10"/>
                <c:pt idx="0">
                  <c:v>110000</c:v>
                </c:pt>
                <c:pt idx="1">
                  <c:v>200000</c:v>
                </c:pt>
                <c:pt idx="2">
                  <c:v>78000</c:v>
                </c:pt>
                <c:pt idx="3">
                  <c:v>135000</c:v>
                </c:pt>
                <c:pt idx="4">
                  <c:v>128000</c:v>
                </c:pt>
                <c:pt idx="5">
                  <c:v>102000</c:v>
                </c:pt>
                <c:pt idx="6">
                  <c:v>124800</c:v>
                </c:pt>
                <c:pt idx="7">
                  <c:v>157600</c:v>
                </c:pt>
                <c:pt idx="8">
                  <c:v>157600</c:v>
                </c:pt>
                <c:pt idx="9">
                  <c:v>143520</c:v>
                </c:pt>
              </c:numCache>
            </c:numRef>
          </c:val>
          <c:extLst>
            <c:ext xmlns:c16="http://schemas.microsoft.com/office/drawing/2014/chart" uri="{C3380CC4-5D6E-409C-BE32-E72D297353CC}">
              <c16:uniqueId val="{00000000-ED87-49B1-9D92-7E5A052BAD85}"/>
            </c:ext>
          </c:extLst>
        </c:ser>
        <c:dLbls>
          <c:showLegendKey val="0"/>
          <c:showVal val="0"/>
          <c:showCatName val="0"/>
          <c:showSerName val="0"/>
          <c:showPercent val="0"/>
          <c:showBubbleSize val="0"/>
        </c:dLbls>
        <c:axId val="371704560"/>
        <c:axId val="414999744"/>
        <c:axId val="283306832"/>
      </c:area3DChart>
      <c:catAx>
        <c:axId val="371704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mn-lt"/>
                <a:ea typeface="+mn-ea"/>
                <a:cs typeface="+mn-cs"/>
              </a:defRPr>
            </a:pPr>
            <a:endParaRPr lang="en-US"/>
          </a:p>
        </c:txPr>
        <c:crossAx val="414999744"/>
        <c:crosses val="autoZero"/>
        <c:auto val="1"/>
        <c:lblAlgn val="ctr"/>
        <c:lblOffset val="100"/>
        <c:noMultiLvlLbl val="0"/>
      </c:catAx>
      <c:valAx>
        <c:axId val="41499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mn-lt"/>
                <a:ea typeface="+mn-ea"/>
                <a:cs typeface="+mn-cs"/>
              </a:defRPr>
            </a:pPr>
            <a:endParaRPr lang="en-US"/>
          </a:p>
        </c:txPr>
        <c:crossAx val="371704560"/>
        <c:crosses val="autoZero"/>
        <c:crossBetween val="midCat"/>
      </c:valAx>
      <c:serAx>
        <c:axId val="28330683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mn-lt"/>
                <a:ea typeface="+mn-ea"/>
                <a:cs typeface="+mn-cs"/>
              </a:defRPr>
            </a:pPr>
            <a:endParaRPr lang="en-US"/>
          </a:p>
        </c:txPr>
        <c:crossAx val="414999744"/>
        <c:crosses val="autoZero"/>
      </c:serAx>
      <c:spPr>
        <a:noFill/>
        <a:ln>
          <a:noFill/>
        </a:ln>
        <a:effectLst/>
      </c:spPr>
    </c:plotArea>
    <c:legend>
      <c:legendPos val="b"/>
      <c:layout>
        <c:manualLayout>
          <c:xMode val="edge"/>
          <c:yMode val="edge"/>
          <c:x val="0.44339873027312021"/>
          <c:y val="0.85175617413563998"/>
          <c:w val="0.15305284357580901"/>
          <c:h val="0.11313660535179444"/>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 DASHBOARD.xlsx]KPI5!PivotTable1</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100" b="1">
                <a:solidFill>
                  <a:schemeClr val="tx1"/>
                </a:solidFill>
                <a:latin typeface="Times New Roman" panose="02020603050405020304" pitchFamily="18" charset="0"/>
                <a:cs typeface="Times New Roman" panose="02020603050405020304" pitchFamily="18" charset="0"/>
              </a:rPr>
              <a:t>Top 5 territory </a:t>
            </a:r>
          </a:p>
        </c:rich>
      </c:tx>
      <c:layout>
        <c:manualLayout>
          <c:xMode val="edge"/>
          <c:yMode val="edge"/>
          <c:x val="0.35302653476732354"/>
          <c:y val="0.84498413678861217"/>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3817329818991571"/>
          <c:y val="0.13619036717557087"/>
          <c:w val="0.4949388397963268"/>
          <c:h val="0.69008576284876932"/>
        </c:manualLayout>
      </c:layout>
      <c:doughnutChart>
        <c:varyColors val="1"/>
        <c:ser>
          <c:idx val="0"/>
          <c:order val="0"/>
          <c:tx>
            <c:strRef>
              <c:f>'KPI5'!$B$3</c:f>
              <c:strCache>
                <c:ptCount val="1"/>
                <c:pt idx="0">
                  <c:v>Sum of Sales Value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39D-490B-A9CF-59A693B11E5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39D-490B-A9CF-59A693B11E5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39D-490B-A9CF-59A693B11E5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39D-490B-A9CF-59A693B11E5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39D-490B-A9CF-59A693B11E5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'KPI5'!$A$4:$A$9</c:f>
              <c:strCache>
                <c:ptCount val="5"/>
                <c:pt idx="0">
                  <c:v>Bangalore</c:v>
                </c:pt>
                <c:pt idx="1">
                  <c:v>Bishnupur</c:v>
                </c:pt>
                <c:pt idx="2">
                  <c:v>Delhi</c:v>
                </c:pt>
                <c:pt idx="3">
                  <c:v>Kochi</c:v>
                </c:pt>
                <c:pt idx="4">
                  <c:v>Warangal</c:v>
                </c:pt>
              </c:strCache>
            </c:strRef>
          </c:cat>
          <c:val>
            <c:numRef>
              <c:f>'KPI5'!$B$4:$B$9</c:f>
              <c:numCache>
                <c:formatCode>General</c:formatCode>
                <c:ptCount val="5"/>
                <c:pt idx="0">
                  <c:v>200000</c:v>
                </c:pt>
                <c:pt idx="1">
                  <c:v>143520</c:v>
                </c:pt>
                <c:pt idx="2">
                  <c:v>157600</c:v>
                </c:pt>
                <c:pt idx="3">
                  <c:v>135000</c:v>
                </c:pt>
                <c:pt idx="4">
                  <c:v>157600</c:v>
                </c:pt>
              </c:numCache>
            </c:numRef>
          </c:val>
          <c:extLst>
            <c:ext xmlns:c16="http://schemas.microsoft.com/office/drawing/2014/chart" uri="{C3380CC4-5D6E-409C-BE32-E72D297353CC}">
              <c16:uniqueId val="{0000000A-339D-490B-A9CF-59A693B11E56}"/>
            </c:ext>
          </c:extLst>
        </c:ser>
        <c:ser>
          <c:idx val="1"/>
          <c:order val="1"/>
          <c:tx>
            <c:strRef>
              <c:f>'KPI5'!$C$3</c:f>
              <c:strCache>
                <c:ptCount val="1"/>
                <c:pt idx="0">
                  <c:v>Sum of COST </c:v>
                </c:pt>
              </c:strCache>
            </c:strRef>
          </c:tx>
          <c:explosion val="2"/>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339D-490B-A9CF-59A693B11E5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339D-490B-A9CF-59A693B11E5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339D-490B-A9CF-59A693B11E5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339D-490B-A9CF-59A693B11E5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4-339D-490B-A9CF-59A693B11E5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'KPI5'!$A$4:$A$9</c:f>
              <c:strCache>
                <c:ptCount val="5"/>
                <c:pt idx="0">
                  <c:v>Bangalore</c:v>
                </c:pt>
                <c:pt idx="1">
                  <c:v>Bishnupur</c:v>
                </c:pt>
                <c:pt idx="2">
                  <c:v>Delhi</c:v>
                </c:pt>
                <c:pt idx="3">
                  <c:v>Kochi</c:v>
                </c:pt>
                <c:pt idx="4">
                  <c:v>Warangal</c:v>
                </c:pt>
              </c:strCache>
            </c:strRef>
          </c:cat>
          <c:val>
            <c:numRef>
              <c:f>'KPI5'!$C$4:$C$9</c:f>
              <c:numCache>
                <c:formatCode>General</c:formatCode>
                <c:ptCount val="5"/>
                <c:pt idx="0">
                  <c:v>197500</c:v>
                </c:pt>
                <c:pt idx="1">
                  <c:v>141726</c:v>
                </c:pt>
                <c:pt idx="2">
                  <c:v>155630</c:v>
                </c:pt>
                <c:pt idx="3">
                  <c:v>114750</c:v>
                </c:pt>
                <c:pt idx="4">
                  <c:v>155630</c:v>
                </c:pt>
              </c:numCache>
            </c:numRef>
          </c:val>
          <c:extLst>
            <c:ext xmlns:c16="http://schemas.microsoft.com/office/drawing/2014/chart" uri="{C3380CC4-5D6E-409C-BE32-E72D297353CC}">
              <c16:uniqueId val="{00000015-339D-490B-A9CF-59A693B11E5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hyperlink" Target="#'DATA SET DMART'!A1"/><Relationship Id="rId13" Type="http://schemas.openxmlformats.org/officeDocument/2006/relationships/image" Target="../media/image1.png"/><Relationship Id="rId3" Type="http://schemas.openxmlformats.org/officeDocument/2006/relationships/chart" Target="../charts/chart8.xml"/><Relationship Id="rId7" Type="http://schemas.openxmlformats.org/officeDocument/2006/relationships/hyperlink" Target="#'KPI3'!A1"/><Relationship Id="rId12" Type="http://schemas.openxmlformats.org/officeDocument/2006/relationships/hyperlink" Target="#'KPI5'!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https://relianceretail.com/reliance-smart.html" TargetMode="External"/><Relationship Id="rId11" Type="http://schemas.openxmlformats.org/officeDocument/2006/relationships/hyperlink" Target="#'KPI4'!A1"/><Relationship Id="rId5" Type="http://schemas.openxmlformats.org/officeDocument/2006/relationships/chart" Target="../charts/chart10.xml"/><Relationship Id="rId10" Type="http://schemas.openxmlformats.org/officeDocument/2006/relationships/hyperlink" Target="#'KPI2'!A1"/><Relationship Id="rId4" Type="http://schemas.openxmlformats.org/officeDocument/2006/relationships/chart" Target="../charts/chart9.xml"/><Relationship Id="rId9" Type="http://schemas.openxmlformats.org/officeDocument/2006/relationships/hyperlink" Target="#'KPI1'!A1"/><Relationship Id="rId1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2</xdr:col>
      <xdr:colOff>52386</xdr:colOff>
      <xdr:row>2</xdr:row>
      <xdr:rowOff>33337</xdr:rowOff>
    </xdr:from>
    <xdr:to>
      <xdr:col>8</xdr:col>
      <xdr:colOff>600075</xdr:colOff>
      <xdr:row>16</xdr:row>
      <xdr:rowOff>28575</xdr:rowOff>
    </xdr:to>
    <xdr:graphicFrame macro="">
      <xdr:nvGraphicFramePr>
        <xdr:cNvPr id="2" name="Chart 1">
          <a:extLst>
            <a:ext uri="{FF2B5EF4-FFF2-40B4-BE49-F238E27FC236}">
              <a16:creationId xmlns:a16="http://schemas.microsoft.com/office/drawing/2014/main" id="{99387574-7EC1-4FB6-96C5-7C5022EB4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57150</xdr:colOff>
      <xdr:row>4</xdr:row>
      <xdr:rowOff>9525</xdr:rowOff>
    </xdr:from>
    <xdr:to>
      <xdr:col>11</xdr:col>
      <xdr:colOff>400050</xdr:colOff>
      <xdr:row>6</xdr:row>
      <xdr:rowOff>142875</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99DF44E9-A718-437B-B65B-576C15B19CFD}"/>
            </a:ext>
          </a:extLst>
        </xdr:cNvPr>
        <xdr:cNvSpPr/>
      </xdr:nvSpPr>
      <xdr:spPr>
        <a:xfrm>
          <a:off x="6648450" y="771525"/>
          <a:ext cx="952500" cy="514350"/>
        </a:xfrm>
        <a:prstGeom prst="right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DashboardA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304799</xdr:colOff>
      <xdr:row>2</xdr:row>
      <xdr:rowOff>157162</xdr:rowOff>
    </xdr:from>
    <xdr:to>
      <xdr:col>14</xdr:col>
      <xdr:colOff>66675</xdr:colOff>
      <xdr:row>16</xdr:row>
      <xdr:rowOff>114300</xdr:rowOff>
    </xdr:to>
    <xdr:graphicFrame macro="">
      <xdr:nvGraphicFramePr>
        <xdr:cNvPr id="2" name="Chart 1">
          <a:extLst>
            <a:ext uri="{FF2B5EF4-FFF2-40B4-BE49-F238E27FC236}">
              <a16:creationId xmlns:a16="http://schemas.microsoft.com/office/drawing/2014/main" id="{173BFB1E-AFFA-41C8-AB2F-626279DC1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5</xdr:row>
      <xdr:rowOff>0</xdr:rowOff>
    </xdr:from>
    <xdr:to>
      <xdr:col>16</xdr:col>
      <xdr:colOff>342900</xdr:colOff>
      <xdr:row>7</xdr:row>
      <xdr:rowOff>133350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DC8F93A2-27FF-4FD8-ADD4-8CD8FA39B61E}"/>
            </a:ext>
          </a:extLst>
        </xdr:cNvPr>
        <xdr:cNvSpPr/>
      </xdr:nvSpPr>
      <xdr:spPr>
        <a:xfrm>
          <a:off x="9639300" y="952500"/>
          <a:ext cx="952500" cy="514350"/>
        </a:xfrm>
        <a:prstGeom prst="right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DashboardA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52386</xdr:colOff>
      <xdr:row>1</xdr:row>
      <xdr:rowOff>185736</xdr:rowOff>
    </xdr:from>
    <xdr:to>
      <xdr:col>10</xdr:col>
      <xdr:colOff>76200</xdr:colOff>
      <xdr:row>16</xdr:row>
      <xdr:rowOff>76199</xdr:rowOff>
    </xdr:to>
    <xdr:graphicFrame macro="">
      <xdr:nvGraphicFramePr>
        <xdr:cNvPr id="3" name="Chart 2">
          <a:extLst>
            <a:ext uri="{FF2B5EF4-FFF2-40B4-BE49-F238E27FC236}">
              <a16:creationId xmlns:a16="http://schemas.microsoft.com/office/drawing/2014/main" id="{75133BCF-C08D-43E0-A22D-616CE0EB3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285750</xdr:colOff>
      <xdr:row>3</xdr:row>
      <xdr:rowOff>123825</xdr:rowOff>
    </xdr:from>
    <xdr:to>
      <xdr:col>12</xdr:col>
      <xdr:colOff>19050</xdr:colOff>
      <xdr:row>6</xdr:row>
      <xdr:rowOff>66675</xdr:rowOff>
    </xdr:to>
    <xdr:sp macro="" textlink="">
      <xdr:nvSpPr>
        <xdr:cNvPr id="4" name="Arrow: Right 3">
          <a:hlinkClick xmlns:r="http://schemas.openxmlformats.org/officeDocument/2006/relationships" r:id="rId2"/>
          <a:extLst>
            <a:ext uri="{FF2B5EF4-FFF2-40B4-BE49-F238E27FC236}">
              <a16:creationId xmlns:a16="http://schemas.microsoft.com/office/drawing/2014/main" id="{394A3DF1-28F2-485D-B2DE-02326D362090}"/>
            </a:ext>
          </a:extLst>
        </xdr:cNvPr>
        <xdr:cNvSpPr/>
      </xdr:nvSpPr>
      <xdr:spPr>
        <a:xfrm>
          <a:off x="7467600" y="695325"/>
          <a:ext cx="952500" cy="514350"/>
        </a:xfrm>
        <a:prstGeom prst="right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DashboardA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1185862</xdr:colOff>
      <xdr:row>2</xdr:row>
      <xdr:rowOff>4762</xdr:rowOff>
    </xdr:from>
    <xdr:to>
      <xdr:col>8</xdr:col>
      <xdr:colOff>190500</xdr:colOff>
      <xdr:row>13</xdr:row>
      <xdr:rowOff>152400</xdr:rowOff>
    </xdr:to>
    <xdr:graphicFrame macro="">
      <xdr:nvGraphicFramePr>
        <xdr:cNvPr id="3" name="Chart 2">
          <a:extLst>
            <a:ext uri="{FF2B5EF4-FFF2-40B4-BE49-F238E27FC236}">
              <a16:creationId xmlns:a16="http://schemas.microsoft.com/office/drawing/2014/main" id="{1F393341-CC68-4006-BCB4-7F7308BB6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85725</xdr:colOff>
      <xdr:row>4</xdr:row>
      <xdr:rowOff>114300</xdr:rowOff>
    </xdr:from>
    <xdr:to>
      <xdr:col>10</xdr:col>
      <xdr:colOff>428625</xdr:colOff>
      <xdr:row>7</xdr:row>
      <xdr:rowOff>57150</xdr:rowOff>
    </xdr:to>
    <xdr:sp macro="" textlink="">
      <xdr:nvSpPr>
        <xdr:cNvPr id="4" name="Arrow: Right 3">
          <a:hlinkClick xmlns:r="http://schemas.openxmlformats.org/officeDocument/2006/relationships" r:id="rId2"/>
          <a:extLst>
            <a:ext uri="{FF2B5EF4-FFF2-40B4-BE49-F238E27FC236}">
              <a16:creationId xmlns:a16="http://schemas.microsoft.com/office/drawing/2014/main" id="{06DD4B79-78CC-4857-8994-E7009461B94E}"/>
            </a:ext>
          </a:extLst>
        </xdr:cNvPr>
        <xdr:cNvSpPr/>
      </xdr:nvSpPr>
      <xdr:spPr>
        <a:xfrm>
          <a:off x="6429375" y="876300"/>
          <a:ext cx="952500" cy="514350"/>
        </a:xfrm>
        <a:prstGeom prst="right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DashboardA</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23812</xdr:colOff>
      <xdr:row>1</xdr:row>
      <xdr:rowOff>109537</xdr:rowOff>
    </xdr:from>
    <xdr:to>
      <xdr:col>8</xdr:col>
      <xdr:colOff>247650</xdr:colOff>
      <xdr:row>14</xdr:row>
      <xdr:rowOff>123825</xdr:rowOff>
    </xdr:to>
    <xdr:graphicFrame macro="">
      <xdr:nvGraphicFramePr>
        <xdr:cNvPr id="2" name="Chart 1">
          <a:extLst>
            <a:ext uri="{FF2B5EF4-FFF2-40B4-BE49-F238E27FC236}">
              <a16:creationId xmlns:a16="http://schemas.microsoft.com/office/drawing/2014/main" id="{C9F66115-6167-4D39-BD5B-B2F8DED76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438150</xdr:colOff>
      <xdr:row>5</xdr:row>
      <xdr:rowOff>9525</xdr:rowOff>
    </xdr:from>
    <xdr:to>
      <xdr:col>10</xdr:col>
      <xdr:colOff>171450</xdr:colOff>
      <xdr:row>7</xdr:row>
      <xdr:rowOff>142875</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9E5A9E19-F542-4799-8D0E-FEC34C456673}"/>
            </a:ext>
          </a:extLst>
        </xdr:cNvPr>
        <xdr:cNvSpPr/>
      </xdr:nvSpPr>
      <xdr:spPr>
        <a:xfrm>
          <a:off x="6400800" y="962025"/>
          <a:ext cx="952500" cy="514350"/>
        </a:xfrm>
        <a:prstGeom prst="right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DashboardA</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14</xdr:col>
      <xdr:colOff>66147</xdr:colOff>
      <xdr:row>7</xdr:row>
      <xdr:rowOff>48457</xdr:rowOff>
    </xdr:from>
    <xdr:to>
      <xdr:col>19</xdr:col>
      <xdr:colOff>383647</xdr:colOff>
      <xdr:row>21</xdr:row>
      <xdr:rowOff>26458</xdr:rowOff>
    </xdr:to>
    <xdr:graphicFrame macro="">
      <xdr:nvGraphicFramePr>
        <xdr:cNvPr id="2" name="Chart 1">
          <a:extLst>
            <a:ext uri="{FF2B5EF4-FFF2-40B4-BE49-F238E27FC236}">
              <a16:creationId xmlns:a16="http://schemas.microsoft.com/office/drawing/2014/main" id="{507BB110-A43C-418D-8E79-0DA824590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238126</xdr:colOff>
      <xdr:row>20</xdr:row>
      <xdr:rowOff>132291</xdr:rowOff>
    </xdr:from>
    <xdr:to>
      <xdr:col>14</xdr:col>
      <xdr:colOff>0</xdr:colOff>
      <xdr:row>33</xdr:row>
      <xdr:rowOff>119062</xdr:rowOff>
    </xdr:to>
    <xdr:graphicFrame macro="">
      <xdr:nvGraphicFramePr>
        <xdr:cNvPr id="3" name="Chart 2">
          <a:extLst>
            <a:ext uri="{FF2B5EF4-FFF2-40B4-BE49-F238E27FC236}">
              <a16:creationId xmlns:a16="http://schemas.microsoft.com/office/drawing/2014/main" id="{62FCEF07-9959-41B0-BB32-A8540459A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171974</xdr:colOff>
      <xdr:row>2</xdr:row>
      <xdr:rowOff>92605</xdr:rowOff>
    </xdr:from>
    <xdr:to>
      <xdr:col>8</xdr:col>
      <xdr:colOff>171979</xdr:colOff>
      <xdr:row>19</xdr:row>
      <xdr:rowOff>26459</xdr:rowOff>
    </xdr:to>
    <xdr:graphicFrame macro="">
      <xdr:nvGraphicFramePr>
        <xdr:cNvPr id="4" name="Chart 3">
          <a:extLst>
            <a:ext uri="{FF2B5EF4-FFF2-40B4-BE49-F238E27FC236}">
              <a16:creationId xmlns:a16="http://schemas.microsoft.com/office/drawing/2014/main" id="{B042950E-033C-455B-A254-B360E2177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171975</xdr:colOff>
      <xdr:row>19</xdr:row>
      <xdr:rowOff>92599</xdr:rowOff>
    </xdr:from>
    <xdr:to>
      <xdr:col>8</xdr:col>
      <xdr:colOff>132292</xdr:colOff>
      <xdr:row>33</xdr:row>
      <xdr:rowOff>105832</xdr:rowOff>
    </xdr:to>
    <xdr:graphicFrame macro="">
      <xdr:nvGraphicFramePr>
        <xdr:cNvPr id="5" name="Chart 4">
          <a:extLst>
            <a:ext uri="{FF2B5EF4-FFF2-40B4-BE49-F238E27FC236}">
              <a16:creationId xmlns:a16="http://schemas.microsoft.com/office/drawing/2014/main" id="{4127D5C7-2BA2-4D9E-B8AF-1D50B2B88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119062</xdr:colOff>
      <xdr:row>21</xdr:row>
      <xdr:rowOff>52917</xdr:rowOff>
    </xdr:from>
    <xdr:to>
      <xdr:col>19</xdr:col>
      <xdr:colOff>396869</xdr:colOff>
      <xdr:row>33</xdr:row>
      <xdr:rowOff>145521</xdr:rowOff>
    </xdr:to>
    <xdr:graphicFrame macro="">
      <xdr:nvGraphicFramePr>
        <xdr:cNvPr id="16" name="Chart 15">
          <a:extLst>
            <a:ext uri="{FF2B5EF4-FFF2-40B4-BE49-F238E27FC236}">
              <a16:creationId xmlns:a16="http://schemas.microsoft.com/office/drawing/2014/main" id="{E0D6179A-BB82-49E6-92C1-E69A35F92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26458</xdr:colOff>
      <xdr:row>0</xdr:row>
      <xdr:rowOff>39697</xdr:rowOff>
    </xdr:from>
    <xdr:to>
      <xdr:col>1</xdr:col>
      <xdr:colOff>555624</xdr:colOff>
      <xdr:row>3</xdr:row>
      <xdr:rowOff>158752</xdr:rowOff>
    </xdr:to>
    <xdr:sp macro="" textlink="">
      <xdr:nvSpPr>
        <xdr:cNvPr id="18" name="Rectangle: Rounded Corners 17">
          <a:hlinkClick xmlns:r="http://schemas.openxmlformats.org/officeDocument/2006/relationships" r:id="rId6"/>
          <a:extLst>
            <a:ext uri="{FF2B5EF4-FFF2-40B4-BE49-F238E27FC236}">
              <a16:creationId xmlns:a16="http://schemas.microsoft.com/office/drawing/2014/main" id="{FEF9BC72-E5B7-4BFC-B663-F14610DF195B}"/>
            </a:ext>
          </a:extLst>
        </xdr:cNvPr>
        <xdr:cNvSpPr/>
      </xdr:nvSpPr>
      <xdr:spPr>
        <a:xfrm>
          <a:off x="26458" y="39697"/>
          <a:ext cx="1137708" cy="754055"/>
        </a:xfrm>
        <a:prstGeom prst="roundRect">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1600" b="1">
              <a:solidFill>
                <a:schemeClr val="bg1"/>
              </a:solidFill>
            </a:rPr>
            <a:t>Reliance</a:t>
          </a:r>
          <a:r>
            <a:rPr lang="en-US" sz="1600" b="1" baseline="0">
              <a:solidFill>
                <a:schemeClr val="accent1"/>
              </a:solidFill>
            </a:rPr>
            <a:t>   </a:t>
          </a:r>
          <a:r>
            <a:rPr lang="en-US" sz="1400" b="1" baseline="0">
              <a:solidFill>
                <a:schemeClr val="accent1"/>
              </a:solidFill>
            </a:rPr>
            <a:t>S</a:t>
          </a:r>
          <a:r>
            <a:rPr lang="en-US" sz="1200" b="1" baseline="0">
              <a:solidFill>
                <a:schemeClr val="accent1"/>
              </a:solidFill>
            </a:rPr>
            <a:t>mart</a:t>
          </a:r>
          <a:endParaRPr lang="en-US" sz="700" b="1">
            <a:solidFill>
              <a:schemeClr val="accent1"/>
            </a:solidFill>
          </a:endParaRPr>
        </a:p>
      </xdr:txBody>
    </xdr:sp>
    <xdr:clientData/>
  </xdr:twoCellAnchor>
  <xdr:twoCellAnchor>
    <xdr:from>
      <xdr:col>0</xdr:col>
      <xdr:colOff>33341</xdr:colOff>
      <xdr:row>4</xdr:row>
      <xdr:rowOff>39696</xdr:rowOff>
    </xdr:from>
    <xdr:to>
      <xdr:col>2</xdr:col>
      <xdr:colOff>98956</xdr:colOff>
      <xdr:row>26</xdr:row>
      <xdr:rowOff>105834</xdr:rowOff>
    </xdr:to>
    <xdr:sp macro="" textlink="">
      <xdr:nvSpPr>
        <xdr:cNvPr id="19" name="Cylinder 18">
          <a:extLst>
            <a:ext uri="{FF2B5EF4-FFF2-40B4-BE49-F238E27FC236}">
              <a16:creationId xmlns:a16="http://schemas.microsoft.com/office/drawing/2014/main" id="{4BA7D067-3A0D-4F85-AA71-13D4DB93F0F4}"/>
            </a:ext>
          </a:extLst>
        </xdr:cNvPr>
        <xdr:cNvSpPr/>
      </xdr:nvSpPr>
      <xdr:spPr>
        <a:xfrm>
          <a:off x="33341" y="859904"/>
          <a:ext cx="1282698" cy="4140722"/>
        </a:xfrm>
        <a:prstGeom prst="can">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a:p>
          <a:pPr algn="l"/>
          <a:endParaRPr lang="en-US" sz="1100" b="1"/>
        </a:p>
        <a:p>
          <a:pPr algn="l"/>
          <a:r>
            <a:rPr lang="en-US" sz="1100" b="1"/>
            <a:t>        </a:t>
          </a:r>
          <a:r>
            <a:rPr lang="en-US" sz="1200" b="1">
              <a:latin typeface="Arial Black" panose="020B0A04020102020204" pitchFamily="34" charset="0"/>
            </a:rPr>
            <a:t>DATA</a:t>
          </a:r>
        </a:p>
        <a:p>
          <a:pPr algn="l"/>
          <a:endParaRPr lang="en-US" sz="1200" b="1">
            <a:latin typeface="Arial Black" panose="020B0A04020102020204" pitchFamily="34" charset="0"/>
          </a:endParaRPr>
        </a:p>
        <a:p>
          <a:pPr algn="l"/>
          <a:r>
            <a:rPr lang="en-US" sz="1200" b="1">
              <a:latin typeface="Arial Black" panose="020B0A04020102020204" pitchFamily="34" charset="0"/>
            </a:rPr>
            <a:t>	</a:t>
          </a:r>
        </a:p>
        <a:p>
          <a:pPr algn="l"/>
          <a:r>
            <a:rPr lang="en-US" sz="1100" b="1">
              <a:latin typeface="Arial Black" panose="020B0A04020102020204" pitchFamily="34" charset="0"/>
            </a:rPr>
            <a:t>      KPI 1</a:t>
          </a:r>
        </a:p>
        <a:p>
          <a:pPr algn="l"/>
          <a:endParaRPr lang="en-US" sz="1100" b="1">
            <a:latin typeface="Arial Black" panose="020B0A04020102020204" pitchFamily="34" charset="0"/>
          </a:endParaRPr>
        </a:p>
        <a:p>
          <a:pPr algn="l"/>
          <a:endParaRPr lang="en-US" sz="1100" b="1">
            <a:latin typeface="Arial Black" panose="020B0A04020102020204" pitchFamily="34" charset="0"/>
          </a:endParaRPr>
        </a:p>
        <a:p>
          <a:pPr algn="l"/>
          <a:r>
            <a:rPr lang="en-US" sz="1100" b="1" baseline="0">
              <a:latin typeface="Arial Black" panose="020B0A04020102020204" pitchFamily="34" charset="0"/>
            </a:rPr>
            <a:t>       </a:t>
          </a:r>
          <a:r>
            <a:rPr lang="en-US" sz="1100" b="1">
              <a:latin typeface="Arial Black" panose="020B0A04020102020204" pitchFamily="34" charset="0"/>
            </a:rPr>
            <a:t>KPI</a:t>
          </a:r>
          <a:r>
            <a:rPr lang="en-US" sz="1100" b="1" baseline="0">
              <a:latin typeface="Arial Black" panose="020B0A04020102020204" pitchFamily="34" charset="0"/>
            </a:rPr>
            <a:t> 2</a:t>
          </a:r>
        </a:p>
        <a:p>
          <a:pPr algn="l"/>
          <a:endParaRPr lang="en-US" sz="1100" b="1" baseline="0">
            <a:latin typeface="Arial Black" panose="020B0A04020102020204" pitchFamily="34" charset="0"/>
          </a:endParaRPr>
        </a:p>
        <a:p>
          <a:pPr algn="l"/>
          <a:endParaRPr lang="en-US" sz="1100" b="1" baseline="0">
            <a:latin typeface="Arial Black" panose="020B0A04020102020204" pitchFamily="34" charset="0"/>
          </a:endParaRPr>
        </a:p>
        <a:p>
          <a:pPr algn="l"/>
          <a:r>
            <a:rPr lang="en-US" sz="1100" b="1" baseline="0">
              <a:latin typeface="Arial Black" panose="020B0A04020102020204" pitchFamily="34" charset="0"/>
            </a:rPr>
            <a:t>      KPI 3</a:t>
          </a:r>
        </a:p>
        <a:p>
          <a:pPr algn="l"/>
          <a:endParaRPr lang="en-US" sz="1100" b="1" baseline="0">
            <a:latin typeface="Arial Black" panose="020B0A04020102020204" pitchFamily="34" charset="0"/>
          </a:endParaRPr>
        </a:p>
        <a:p>
          <a:pPr algn="l"/>
          <a:r>
            <a:rPr lang="en-US" sz="1100" b="1" baseline="0">
              <a:latin typeface="Arial Black" panose="020B0A04020102020204" pitchFamily="34" charset="0"/>
            </a:rPr>
            <a:t> </a:t>
          </a:r>
        </a:p>
        <a:p>
          <a:pPr algn="l"/>
          <a:r>
            <a:rPr lang="en-US" sz="1100" b="1" baseline="0">
              <a:latin typeface="Arial Black" panose="020B0A04020102020204" pitchFamily="34" charset="0"/>
            </a:rPr>
            <a:t>      KPI4</a:t>
          </a:r>
        </a:p>
        <a:p>
          <a:pPr algn="l"/>
          <a:endParaRPr lang="en-US" sz="1100" b="1" baseline="0">
            <a:latin typeface="Arial Black" panose="020B0A04020102020204" pitchFamily="34" charset="0"/>
          </a:endParaRPr>
        </a:p>
        <a:p>
          <a:pPr algn="l"/>
          <a:endParaRPr lang="en-US" sz="1100" b="1" baseline="0">
            <a:latin typeface="Arial Black" panose="020B0A04020102020204" pitchFamily="34" charset="0"/>
          </a:endParaRPr>
        </a:p>
        <a:p>
          <a:pPr algn="l"/>
          <a:r>
            <a:rPr lang="en-US" sz="1100" b="1" baseline="0">
              <a:latin typeface="Arial Black" panose="020B0A04020102020204" pitchFamily="34" charset="0"/>
            </a:rPr>
            <a:t>       KPI5</a:t>
          </a:r>
          <a:endParaRPr lang="en-US" sz="1100" b="1">
            <a:latin typeface="Arial Black" panose="020B0A04020102020204" pitchFamily="34" charset="0"/>
          </a:endParaRPr>
        </a:p>
      </xdr:txBody>
    </xdr:sp>
    <xdr:clientData/>
  </xdr:twoCellAnchor>
  <xdr:twoCellAnchor>
    <xdr:from>
      <xdr:col>0</xdr:col>
      <xdr:colOff>140761</xdr:colOff>
      <xdr:row>16</xdr:row>
      <xdr:rowOff>171988</xdr:rowOff>
    </xdr:from>
    <xdr:to>
      <xdr:col>1</xdr:col>
      <xdr:colOff>494243</xdr:colOff>
      <xdr:row>19</xdr:row>
      <xdr:rowOff>158757</xdr:rowOff>
    </xdr:to>
    <xdr:sp macro="" textlink="">
      <xdr:nvSpPr>
        <xdr:cNvPr id="20" name="Circle: Hollow 19">
          <a:hlinkClick xmlns:r="http://schemas.openxmlformats.org/officeDocument/2006/relationships" r:id="rId7"/>
          <a:extLst>
            <a:ext uri="{FF2B5EF4-FFF2-40B4-BE49-F238E27FC236}">
              <a16:creationId xmlns:a16="http://schemas.microsoft.com/office/drawing/2014/main" id="{45D44B34-1A0C-4337-837C-738E4EEAA18A}"/>
            </a:ext>
          </a:extLst>
        </xdr:cNvPr>
        <xdr:cNvSpPr/>
      </xdr:nvSpPr>
      <xdr:spPr>
        <a:xfrm>
          <a:off x="140761" y="3214696"/>
          <a:ext cx="962024" cy="542394"/>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134412</xdr:colOff>
      <xdr:row>7</xdr:row>
      <xdr:rowOff>20114</xdr:rowOff>
    </xdr:from>
    <xdr:to>
      <xdr:col>1</xdr:col>
      <xdr:colOff>487894</xdr:colOff>
      <xdr:row>10</xdr:row>
      <xdr:rowOff>6883</xdr:rowOff>
    </xdr:to>
    <xdr:sp macro="" textlink="">
      <xdr:nvSpPr>
        <xdr:cNvPr id="27" name="Circle: Hollow 26">
          <a:hlinkClick xmlns:r="http://schemas.openxmlformats.org/officeDocument/2006/relationships" r:id="rId8"/>
          <a:extLst>
            <a:ext uri="{FF2B5EF4-FFF2-40B4-BE49-F238E27FC236}">
              <a16:creationId xmlns:a16="http://schemas.microsoft.com/office/drawing/2014/main" id="{807FB755-E765-49E0-A6A1-24F058913F29}"/>
            </a:ext>
          </a:extLst>
        </xdr:cNvPr>
        <xdr:cNvSpPr/>
      </xdr:nvSpPr>
      <xdr:spPr>
        <a:xfrm>
          <a:off x="134412" y="1395947"/>
          <a:ext cx="962024" cy="542394"/>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154721</xdr:colOff>
      <xdr:row>10</xdr:row>
      <xdr:rowOff>93140</xdr:rowOff>
    </xdr:from>
    <xdr:to>
      <xdr:col>1</xdr:col>
      <xdr:colOff>467583</xdr:colOff>
      <xdr:row>13</xdr:row>
      <xdr:rowOff>119065</xdr:rowOff>
    </xdr:to>
    <xdr:sp macro="" textlink="">
      <xdr:nvSpPr>
        <xdr:cNvPr id="28" name="Circle: Hollow 27">
          <a:hlinkClick xmlns:r="http://schemas.openxmlformats.org/officeDocument/2006/relationships" r:id="rId9"/>
          <a:extLst>
            <a:ext uri="{FF2B5EF4-FFF2-40B4-BE49-F238E27FC236}">
              <a16:creationId xmlns:a16="http://schemas.microsoft.com/office/drawing/2014/main" id="{0DB16693-43C9-410C-A347-306DE59D2ABE}"/>
            </a:ext>
          </a:extLst>
        </xdr:cNvPr>
        <xdr:cNvSpPr/>
      </xdr:nvSpPr>
      <xdr:spPr>
        <a:xfrm>
          <a:off x="154721" y="2024598"/>
          <a:ext cx="921404" cy="58155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134939</xdr:colOff>
      <xdr:row>13</xdr:row>
      <xdr:rowOff>139706</xdr:rowOff>
    </xdr:from>
    <xdr:to>
      <xdr:col>1</xdr:col>
      <xdr:colOff>488421</xdr:colOff>
      <xdr:row>16</xdr:row>
      <xdr:rowOff>126475</xdr:rowOff>
    </xdr:to>
    <xdr:sp macro="" textlink="">
      <xdr:nvSpPr>
        <xdr:cNvPr id="29" name="Circle: Hollow 28">
          <a:hlinkClick xmlns:r="http://schemas.openxmlformats.org/officeDocument/2006/relationships" r:id="rId10"/>
          <a:extLst>
            <a:ext uri="{FF2B5EF4-FFF2-40B4-BE49-F238E27FC236}">
              <a16:creationId xmlns:a16="http://schemas.microsoft.com/office/drawing/2014/main" id="{990A1DCF-7330-41B6-8D14-75F54202FEC8}"/>
            </a:ext>
          </a:extLst>
        </xdr:cNvPr>
        <xdr:cNvSpPr/>
      </xdr:nvSpPr>
      <xdr:spPr>
        <a:xfrm>
          <a:off x="134939" y="2626789"/>
          <a:ext cx="962024" cy="542394"/>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134411</xdr:colOff>
      <xdr:row>20</xdr:row>
      <xdr:rowOff>20116</xdr:rowOff>
    </xdr:from>
    <xdr:to>
      <xdr:col>1</xdr:col>
      <xdr:colOff>487893</xdr:colOff>
      <xdr:row>23</xdr:row>
      <xdr:rowOff>6885</xdr:rowOff>
    </xdr:to>
    <xdr:sp macro="" textlink="">
      <xdr:nvSpPr>
        <xdr:cNvPr id="30" name="Circle: Hollow 29">
          <a:hlinkClick xmlns:r="http://schemas.openxmlformats.org/officeDocument/2006/relationships" r:id="rId11"/>
          <a:extLst>
            <a:ext uri="{FF2B5EF4-FFF2-40B4-BE49-F238E27FC236}">
              <a16:creationId xmlns:a16="http://schemas.microsoft.com/office/drawing/2014/main" id="{5A143363-E846-42BA-8736-08213932CA2F}"/>
            </a:ext>
          </a:extLst>
        </xdr:cNvPr>
        <xdr:cNvSpPr/>
      </xdr:nvSpPr>
      <xdr:spPr>
        <a:xfrm>
          <a:off x="134411" y="3803658"/>
          <a:ext cx="962024" cy="542394"/>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180977</xdr:colOff>
      <xdr:row>23</xdr:row>
      <xdr:rowOff>53453</xdr:rowOff>
    </xdr:from>
    <xdr:to>
      <xdr:col>1</xdr:col>
      <xdr:colOff>534459</xdr:colOff>
      <xdr:row>26</xdr:row>
      <xdr:rowOff>40222</xdr:rowOff>
    </xdr:to>
    <xdr:sp macro="" textlink="">
      <xdr:nvSpPr>
        <xdr:cNvPr id="31" name="Circle: Hollow 30">
          <a:hlinkClick xmlns:r="http://schemas.openxmlformats.org/officeDocument/2006/relationships" r:id="rId12"/>
          <a:extLst>
            <a:ext uri="{FF2B5EF4-FFF2-40B4-BE49-F238E27FC236}">
              <a16:creationId xmlns:a16="http://schemas.microsoft.com/office/drawing/2014/main" id="{6622398A-F9FA-4DD3-BE09-ADCDF33AF28C}"/>
            </a:ext>
          </a:extLst>
        </xdr:cNvPr>
        <xdr:cNvSpPr/>
      </xdr:nvSpPr>
      <xdr:spPr>
        <a:xfrm>
          <a:off x="180977" y="4392620"/>
          <a:ext cx="962024" cy="542394"/>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14</xdr:col>
      <xdr:colOff>26457</xdr:colOff>
      <xdr:row>2</xdr:row>
      <xdr:rowOff>26456</xdr:rowOff>
    </xdr:from>
    <xdr:to>
      <xdr:col>17</xdr:col>
      <xdr:colOff>119061</xdr:colOff>
      <xdr:row>6</xdr:row>
      <xdr:rowOff>171978</xdr:rowOff>
    </xdr:to>
    <mc:AlternateContent xmlns:mc="http://schemas.openxmlformats.org/markup-compatibility/2006" xmlns:a14="http://schemas.microsoft.com/office/drawing/2010/main">
      <mc:Choice Requires="a14">
        <xdr:graphicFrame macro="">
          <xdr:nvGraphicFramePr>
            <xdr:cNvPr id="32" name="Product Name">
              <a:extLst>
                <a:ext uri="{FF2B5EF4-FFF2-40B4-BE49-F238E27FC236}">
                  <a16:creationId xmlns:a16="http://schemas.microsoft.com/office/drawing/2014/main" id="{63B8EF48-78B4-4088-B243-785235B60E52}"/>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8731249" y="476248"/>
              <a:ext cx="1918229" cy="8863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291040</xdr:colOff>
      <xdr:row>2</xdr:row>
      <xdr:rowOff>52916</xdr:rowOff>
    </xdr:from>
    <xdr:to>
      <xdr:col>11</xdr:col>
      <xdr:colOff>119060</xdr:colOff>
      <xdr:row>11</xdr:row>
      <xdr:rowOff>66144</xdr:rowOff>
    </xdr:to>
    <mc:AlternateContent xmlns:mc="http://schemas.openxmlformats.org/markup-compatibility/2006" xmlns:a14="http://schemas.microsoft.com/office/drawing/2010/main">
      <mc:Choice Requires="a14">
        <xdr:graphicFrame macro="">
          <xdr:nvGraphicFramePr>
            <xdr:cNvPr id="33" name="Month">
              <a:extLst>
                <a:ext uri="{FF2B5EF4-FFF2-40B4-BE49-F238E27FC236}">
                  <a16:creationId xmlns:a16="http://schemas.microsoft.com/office/drawing/2014/main" id="{F565BF83-4D5F-4D30-8118-C7AC9E8B2E7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344582" y="502708"/>
              <a:ext cx="1653645" cy="16801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291042</xdr:colOff>
      <xdr:row>12</xdr:row>
      <xdr:rowOff>0</xdr:rowOff>
    </xdr:from>
    <xdr:to>
      <xdr:col>11</xdr:col>
      <xdr:colOff>158750</xdr:colOff>
      <xdr:row>19</xdr:row>
      <xdr:rowOff>158748</xdr:rowOff>
    </xdr:to>
    <mc:AlternateContent xmlns:mc="http://schemas.openxmlformats.org/markup-compatibility/2006" xmlns:a14="http://schemas.microsoft.com/office/drawing/2010/main">
      <mc:Choice Requires="a14">
        <xdr:graphicFrame macro="">
          <xdr:nvGraphicFramePr>
            <xdr:cNvPr id="34" name="Region">
              <a:extLst>
                <a:ext uri="{FF2B5EF4-FFF2-40B4-BE49-F238E27FC236}">
                  <a16:creationId xmlns:a16="http://schemas.microsoft.com/office/drawing/2014/main" id="{C7073606-3FD8-4F6B-9CA3-C573AC40E3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44584" y="2222500"/>
              <a:ext cx="1613957" cy="15345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238124</xdr:colOff>
      <xdr:row>11</xdr:row>
      <xdr:rowOff>119062</xdr:rowOff>
    </xdr:from>
    <xdr:to>
      <xdr:col>13</xdr:col>
      <xdr:colOff>608540</xdr:colOff>
      <xdr:row>19</xdr:row>
      <xdr:rowOff>158750</xdr:rowOff>
    </xdr:to>
    <mc:AlternateContent xmlns:mc="http://schemas.openxmlformats.org/markup-compatibility/2006" xmlns:a14="http://schemas.microsoft.com/office/drawing/2010/main">
      <mc:Choice Requires="a14">
        <xdr:graphicFrame macro="">
          <xdr:nvGraphicFramePr>
            <xdr:cNvPr id="35" name="Sales Value">
              <a:extLst>
                <a:ext uri="{FF2B5EF4-FFF2-40B4-BE49-F238E27FC236}">
                  <a16:creationId xmlns:a16="http://schemas.microsoft.com/office/drawing/2014/main" id="{94110F5C-AD0E-4770-99CC-4308E32CF049}"/>
                </a:ext>
              </a:extLst>
            </xdr:cNvPr>
            <xdr:cNvGraphicFramePr/>
          </xdr:nvGraphicFramePr>
          <xdr:xfrm>
            <a:off x="0" y="0"/>
            <a:ext cx="0" cy="0"/>
          </xdr:xfrm>
          <a:graphic>
            <a:graphicData uri="http://schemas.microsoft.com/office/drawing/2010/slicer">
              <sle:slicer xmlns:sle="http://schemas.microsoft.com/office/drawing/2010/slicer" name="Sales Value"/>
            </a:graphicData>
          </a:graphic>
        </xdr:graphicFrame>
      </mc:Choice>
      <mc:Fallback xmlns="">
        <xdr:sp macro="" textlink="">
          <xdr:nvSpPr>
            <xdr:cNvPr id="0" name=""/>
            <xdr:cNvSpPr>
              <a:spLocks noTextEdit="1"/>
            </xdr:cNvSpPr>
          </xdr:nvSpPr>
          <xdr:spPr>
            <a:xfrm>
              <a:off x="7090833" y="2235729"/>
              <a:ext cx="1613958" cy="15213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185203</xdr:colOff>
      <xdr:row>2</xdr:row>
      <xdr:rowOff>26463</xdr:rowOff>
    </xdr:from>
    <xdr:to>
      <xdr:col>13</xdr:col>
      <xdr:colOff>568854</xdr:colOff>
      <xdr:row>11</xdr:row>
      <xdr:rowOff>26463</xdr:rowOff>
    </xdr:to>
    <mc:AlternateContent xmlns:mc="http://schemas.openxmlformats.org/markup-compatibility/2006" xmlns:a14="http://schemas.microsoft.com/office/drawing/2010/main">
      <mc:Choice Requires="a14">
        <xdr:graphicFrame macro="">
          <xdr:nvGraphicFramePr>
            <xdr:cNvPr id="38" name="Profit">
              <a:extLst>
                <a:ext uri="{FF2B5EF4-FFF2-40B4-BE49-F238E27FC236}">
                  <a16:creationId xmlns:a16="http://schemas.microsoft.com/office/drawing/2014/main" id="{A8EDF7FE-F2F1-440D-8FD8-0E148B31CD87}"/>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7064370" y="476255"/>
              <a:ext cx="1600734"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595313</xdr:colOff>
      <xdr:row>0</xdr:row>
      <xdr:rowOff>0</xdr:rowOff>
    </xdr:from>
    <xdr:to>
      <xdr:col>9</xdr:col>
      <xdr:colOff>555626</xdr:colOff>
      <xdr:row>2</xdr:row>
      <xdr:rowOff>119061</xdr:rowOff>
    </xdr:to>
    <xdr:pic>
      <xdr:nvPicPr>
        <xdr:cNvPr id="8" name="Graphic 7" descr="Bar graph with upward trend">
          <a:extLst>
            <a:ext uri="{FF2B5EF4-FFF2-40B4-BE49-F238E27FC236}">
              <a16:creationId xmlns:a16="http://schemas.microsoft.com/office/drawing/2014/main" id="{B2A218C1-77B2-4F1C-81F6-982EA9D94CB9}"/>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5648855" y="0"/>
          <a:ext cx="568854" cy="568853"/>
        </a:xfrm>
        <a:prstGeom prst="rect">
          <a:avLst/>
        </a:prstGeom>
      </xdr:spPr>
    </xdr:pic>
    <xdr:clientData/>
  </xdr:twoCellAnchor>
  <xdr:twoCellAnchor>
    <xdr:from>
      <xdr:col>17</xdr:col>
      <xdr:colOff>145520</xdr:colOff>
      <xdr:row>0</xdr:row>
      <xdr:rowOff>52917</xdr:rowOff>
    </xdr:from>
    <xdr:to>
      <xdr:col>19</xdr:col>
      <xdr:colOff>542396</xdr:colOff>
      <xdr:row>7</xdr:row>
      <xdr:rowOff>39688</xdr:rowOff>
    </xdr:to>
    <xdr:sp macro="" textlink="">
      <xdr:nvSpPr>
        <xdr:cNvPr id="9" name="Rectangle 8">
          <a:extLst>
            <a:ext uri="{FF2B5EF4-FFF2-40B4-BE49-F238E27FC236}">
              <a16:creationId xmlns:a16="http://schemas.microsoft.com/office/drawing/2014/main" id="{F243FC6E-F5EA-4AD6-A400-912E8A3EA677}"/>
            </a:ext>
          </a:extLst>
        </xdr:cNvPr>
        <xdr:cNvSpPr/>
      </xdr:nvSpPr>
      <xdr:spPr>
        <a:xfrm>
          <a:off x="10675937" y="52917"/>
          <a:ext cx="1613959" cy="1362604"/>
        </a:xfrm>
        <a:prstGeom prst="rect">
          <a:avLst/>
        </a:prstGeom>
        <a:solidFill>
          <a:schemeClr val="accent5">
            <a:lumMod val="75000"/>
          </a:schemeClr>
        </a:solidFill>
        <a:ln w="381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900" b="0">
            <a:latin typeface="Arial Rounded MT Bold" panose="020F0704030504030204" pitchFamily="34" charset="0"/>
          </a:endParaRPr>
        </a:p>
      </xdr:txBody>
    </xdr:sp>
    <xdr:clientData/>
  </xdr:twoCellAnchor>
  <xdr:twoCellAnchor>
    <xdr:from>
      <xdr:col>17</xdr:col>
      <xdr:colOff>211665</xdr:colOff>
      <xdr:row>0</xdr:row>
      <xdr:rowOff>119063</xdr:rowOff>
    </xdr:from>
    <xdr:to>
      <xdr:col>19</xdr:col>
      <xdr:colOff>489479</xdr:colOff>
      <xdr:row>1</xdr:row>
      <xdr:rowOff>105834</xdr:rowOff>
    </xdr:to>
    <xdr:sp macro="" textlink="">
      <xdr:nvSpPr>
        <xdr:cNvPr id="10" name="TextBox 9">
          <a:extLst>
            <a:ext uri="{FF2B5EF4-FFF2-40B4-BE49-F238E27FC236}">
              <a16:creationId xmlns:a16="http://schemas.microsoft.com/office/drawing/2014/main" id="{FE20FC09-DAAA-4157-A545-68A022D06B4B}"/>
            </a:ext>
          </a:extLst>
        </xdr:cNvPr>
        <xdr:cNvSpPr txBox="1"/>
      </xdr:nvSpPr>
      <xdr:spPr>
        <a:xfrm>
          <a:off x="10742082" y="119063"/>
          <a:ext cx="1494897" cy="238125"/>
        </a:xfrm>
        <a:prstGeom prst="round2Same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TOP</a:t>
          </a:r>
          <a:r>
            <a:rPr lang="en-US" sz="1100" b="1" baseline="0">
              <a:solidFill>
                <a:schemeClr val="dk1"/>
              </a:solidFill>
              <a:effectLst/>
              <a:latin typeface="+mn-lt"/>
              <a:ea typeface="+mn-ea"/>
              <a:cs typeface="+mn-cs"/>
            </a:rPr>
            <a:t> 3 SELL PRODUCT </a:t>
          </a:r>
          <a:endParaRPr lang="en-US" sz="1100" b="1">
            <a:effectLst/>
          </a:endParaRPr>
        </a:p>
        <a:p>
          <a:endParaRPr lang="en-US" sz="1050"/>
        </a:p>
      </xdr:txBody>
    </xdr:sp>
    <xdr:clientData/>
  </xdr:twoCellAnchor>
  <xdr:twoCellAnchor>
    <xdr:from>
      <xdr:col>17</xdr:col>
      <xdr:colOff>171979</xdr:colOff>
      <xdr:row>1</xdr:row>
      <xdr:rowOff>145522</xdr:rowOff>
    </xdr:from>
    <xdr:to>
      <xdr:col>18</xdr:col>
      <xdr:colOff>423334</xdr:colOff>
      <xdr:row>3</xdr:row>
      <xdr:rowOff>52918</xdr:rowOff>
    </xdr:to>
    <xdr:sp macro="" textlink="'KPI6'!D10:E12">
      <xdr:nvSpPr>
        <xdr:cNvPr id="11" name="TextBox 10">
          <a:extLst>
            <a:ext uri="{FF2B5EF4-FFF2-40B4-BE49-F238E27FC236}">
              <a16:creationId xmlns:a16="http://schemas.microsoft.com/office/drawing/2014/main" id="{722FB138-7BB1-4519-AF73-049F2A121D5C}"/>
            </a:ext>
          </a:extLst>
        </xdr:cNvPr>
        <xdr:cNvSpPr txBox="1"/>
      </xdr:nvSpPr>
      <xdr:spPr>
        <a:xfrm>
          <a:off x="10702396" y="396876"/>
          <a:ext cx="859896" cy="2910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4A11C5-3C8E-4EE1-A197-77268312C51E}" type="TxLink">
            <a:rPr lang="en-US" sz="1200" b="1" i="0" u="none" strike="noStrike">
              <a:solidFill>
                <a:srgbClr val="000000"/>
              </a:solidFill>
              <a:latin typeface="Calibri"/>
              <a:cs typeface="Calibri"/>
            </a:rPr>
            <a:pPr algn="ctr"/>
            <a:t>Pepsodent</a:t>
          </a:fld>
          <a:endParaRPr lang="en-US" sz="1200" b="1"/>
        </a:p>
      </xdr:txBody>
    </xdr:sp>
    <xdr:clientData/>
  </xdr:twoCellAnchor>
  <xdr:twoCellAnchor>
    <xdr:from>
      <xdr:col>18</xdr:col>
      <xdr:colOff>463023</xdr:colOff>
      <xdr:row>1</xdr:row>
      <xdr:rowOff>145524</xdr:rowOff>
    </xdr:from>
    <xdr:to>
      <xdr:col>19</xdr:col>
      <xdr:colOff>463021</xdr:colOff>
      <xdr:row>3</xdr:row>
      <xdr:rowOff>52918</xdr:rowOff>
    </xdr:to>
    <xdr:sp macro="" textlink="'KPI6'!E10">
      <xdr:nvSpPr>
        <xdr:cNvPr id="26" name="TextBox 25">
          <a:extLst>
            <a:ext uri="{FF2B5EF4-FFF2-40B4-BE49-F238E27FC236}">
              <a16:creationId xmlns:a16="http://schemas.microsoft.com/office/drawing/2014/main" id="{C5C41EF5-8EC6-4E33-8357-C81CD2C0B1D4}"/>
            </a:ext>
          </a:extLst>
        </xdr:cNvPr>
        <xdr:cNvSpPr txBox="1"/>
      </xdr:nvSpPr>
      <xdr:spPr>
        <a:xfrm>
          <a:off x="11601981" y="396878"/>
          <a:ext cx="608540" cy="291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430C141-01A1-4F7C-B4CC-144A45665DBA}" type="TxLink">
            <a:rPr lang="en-US" sz="1200" b="1" i="0" u="none" strike="noStrike">
              <a:solidFill>
                <a:srgbClr val="000000"/>
              </a:solidFill>
              <a:latin typeface="Calibri"/>
              <a:cs typeface="Calibri"/>
            </a:rPr>
            <a:pPr algn="l"/>
            <a:t>42126</a:t>
          </a:fld>
          <a:endParaRPr lang="en-US" sz="1400" b="1"/>
        </a:p>
      </xdr:txBody>
    </xdr:sp>
    <xdr:clientData/>
  </xdr:twoCellAnchor>
  <xdr:twoCellAnchor>
    <xdr:from>
      <xdr:col>17</xdr:col>
      <xdr:colOff>178860</xdr:colOff>
      <xdr:row>3</xdr:row>
      <xdr:rowOff>73024</xdr:rowOff>
    </xdr:from>
    <xdr:to>
      <xdr:col>18</xdr:col>
      <xdr:colOff>430215</xdr:colOff>
      <xdr:row>4</xdr:row>
      <xdr:rowOff>178858</xdr:rowOff>
    </xdr:to>
    <xdr:sp macro="" textlink="'KPI6'!D7">
      <xdr:nvSpPr>
        <xdr:cNvPr id="36" name="TextBox 35">
          <a:extLst>
            <a:ext uri="{FF2B5EF4-FFF2-40B4-BE49-F238E27FC236}">
              <a16:creationId xmlns:a16="http://schemas.microsoft.com/office/drawing/2014/main" id="{5A4285A4-62DF-46BE-8DFA-1BEB8416FC96}"/>
            </a:ext>
          </a:extLst>
        </xdr:cNvPr>
        <xdr:cNvSpPr txBox="1"/>
      </xdr:nvSpPr>
      <xdr:spPr>
        <a:xfrm>
          <a:off x="10709277" y="708024"/>
          <a:ext cx="859896" cy="2910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B53E75-4543-4004-B63E-72E17808CDF9}" type="TxLink">
            <a:rPr lang="en-US" sz="1200" b="1" i="0" u="none" strike="noStrike">
              <a:solidFill>
                <a:srgbClr val="000000"/>
              </a:solidFill>
              <a:latin typeface="Calibri"/>
              <a:cs typeface="Calibri"/>
            </a:rPr>
            <a:pPr algn="ctr"/>
            <a:t>Cello Pen</a:t>
          </a:fld>
          <a:endParaRPr lang="en-US" sz="1200" b="1"/>
        </a:p>
      </xdr:txBody>
    </xdr:sp>
    <xdr:clientData/>
  </xdr:twoCellAnchor>
  <xdr:twoCellAnchor>
    <xdr:from>
      <xdr:col>17</xdr:col>
      <xdr:colOff>198970</xdr:colOff>
      <xdr:row>5</xdr:row>
      <xdr:rowOff>39687</xdr:rowOff>
    </xdr:from>
    <xdr:to>
      <xdr:col>18</xdr:col>
      <xdr:colOff>423334</xdr:colOff>
      <xdr:row>6</xdr:row>
      <xdr:rowOff>145521</xdr:rowOff>
    </xdr:to>
    <xdr:sp macro="" textlink="">
      <xdr:nvSpPr>
        <xdr:cNvPr id="37" name="TextBox 36">
          <a:extLst>
            <a:ext uri="{FF2B5EF4-FFF2-40B4-BE49-F238E27FC236}">
              <a16:creationId xmlns:a16="http://schemas.microsoft.com/office/drawing/2014/main" id="{98D5EE2A-783B-446E-A2BC-81FFC9C51A7F}"/>
            </a:ext>
          </a:extLst>
        </xdr:cNvPr>
        <xdr:cNvSpPr txBox="1"/>
      </xdr:nvSpPr>
      <xdr:spPr>
        <a:xfrm>
          <a:off x="10729387" y="1045104"/>
          <a:ext cx="832905" cy="2910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Lux</a:t>
          </a:r>
        </a:p>
      </xdr:txBody>
    </xdr:sp>
    <xdr:clientData/>
  </xdr:twoCellAnchor>
  <xdr:twoCellAnchor>
    <xdr:from>
      <xdr:col>18</xdr:col>
      <xdr:colOff>456675</xdr:colOff>
      <xdr:row>3</xdr:row>
      <xdr:rowOff>73026</xdr:rowOff>
    </xdr:from>
    <xdr:to>
      <xdr:col>19</xdr:col>
      <xdr:colOff>456673</xdr:colOff>
      <xdr:row>4</xdr:row>
      <xdr:rowOff>178858</xdr:rowOff>
    </xdr:to>
    <xdr:sp macro="" textlink="'KPI6'!E7">
      <xdr:nvSpPr>
        <xdr:cNvPr id="41" name="TextBox 40">
          <a:extLst>
            <a:ext uri="{FF2B5EF4-FFF2-40B4-BE49-F238E27FC236}">
              <a16:creationId xmlns:a16="http://schemas.microsoft.com/office/drawing/2014/main" id="{FE0A3D38-D2A2-46CC-8102-3F4C0DBEFB94}"/>
            </a:ext>
          </a:extLst>
        </xdr:cNvPr>
        <xdr:cNvSpPr txBox="1"/>
      </xdr:nvSpPr>
      <xdr:spPr>
        <a:xfrm>
          <a:off x="11595633" y="708026"/>
          <a:ext cx="608540" cy="291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A6A3D98-4323-47A4-9AA4-1CCF23591576}" type="TxLink">
            <a:rPr lang="en-US" sz="1200" b="1" i="0" u="none" strike="noStrike">
              <a:solidFill>
                <a:srgbClr val="000000"/>
              </a:solidFill>
              <a:latin typeface="Calibri"/>
              <a:cs typeface="Calibri"/>
            </a:rPr>
            <a:pPr algn="l"/>
            <a:t>30418</a:t>
          </a:fld>
          <a:endParaRPr lang="en-US" sz="1400" b="1"/>
        </a:p>
      </xdr:txBody>
    </xdr:sp>
    <xdr:clientData/>
  </xdr:twoCellAnchor>
  <xdr:twoCellAnchor>
    <xdr:from>
      <xdr:col>18</xdr:col>
      <xdr:colOff>463556</xdr:colOff>
      <xdr:row>5</xdr:row>
      <xdr:rowOff>26986</xdr:rowOff>
    </xdr:from>
    <xdr:to>
      <xdr:col>19</xdr:col>
      <xdr:colOff>463021</xdr:colOff>
      <xdr:row>6</xdr:row>
      <xdr:rowOff>132292</xdr:rowOff>
    </xdr:to>
    <xdr:sp macro="" textlink="'KPI6'!E8">
      <xdr:nvSpPr>
        <xdr:cNvPr id="42" name="TextBox 41">
          <a:extLst>
            <a:ext uri="{FF2B5EF4-FFF2-40B4-BE49-F238E27FC236}">
              <a16:creationId xmlns:a16="http://schemas.microsoft.com/office/drawing/2014/main" id="{FA0DCC12-9655-41FE-A7EE-9C7D50231640}"/>
            </a:ext>
          </a:extLst>
        </xdr:cNvPr>
        <xdr:cNvSpPr txBox="1"/>
      </xdr:nvSpPr>
      <xdr:spPr>
        <a:xfrm>
          <a:off x="11602514" y="1032403"/>
          <a:ext cx="608007" cy="2905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4909779-9660-4E46-8D28-9033ADA76BA8}" type="TxLink">
            <a:rPr lang="en-US" sz="1200" b="1" i="0" u="none" strike="noStrike">
              <a:solidFill>
                <a:srgbClr val="000000"/>
              </a:solidFill>
              <a:latin typeface="Calibri"/>
              <a:cs typeface="Calibri"/>
            </a:rPr>
            <a:t>22208</a:t>
          </a:fld>
          <a:endParaRPr lang="en-US"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WAL RATNAPARKHI" refreshedDate="45829.624649189813" createdVersion="6" refreshedVersion="6" minRefreshableVersion="3" recordCount="30" xr:uid="{A0B02727-8FC8-4D61-AF35-ECDF37EC6401}">
  <cacheSource type="worksheet">
    <worksheetSource ref="A1:N31" sheet="RELIENCE DATASET "/>
  </cacheSource>
  <cacheFields count="16">
    <cacheField name="Order Date" numFmtId="14">
      <sharedItems containsSemiMixedTypes="0" containsNonDate="0" containsDate="1" containsString="0" minDate="2022-04-01T00:00:00" maxDate="2022-05-01T00:00:00" count="3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sharedItems>
    </cacheField>
    <cacheField name="Product Code" numFmtId="0">
      <sharedItems/>
    </cacheField>
    <cacheField name="Product Name" numFmtId="0">
      <sharedItems count="5">
        <s v="Dettol"/>
        <s v="Lux"/>
        <s v="Cello Pen"/>
        <s v="Print Paper"/>
        <s v="Pepsodent"/>
      </sharedItems>
    </cacheField>
    <cacheField name="Price/Unit" numFmtId="0">
      <sharedItems containsSemiMixedTypes="0" containsString="0" containsNumber="1" containsInteger="1" minValue="12" maxValue="150"/>
    </cacheField>
    <cacheField name="Basic Price" numFmtId="0">
      <sharedItems containsSemiMixedTypes="0" containsString="0" containsNumber="1" containsInteger="1" minValue="15" maxValue="160"/>
    </cacheField>
    <cacheField name="Month" numFmtId="0">
      <sharedItems count="6">
        <s v="Jan"/>
        <s v="Feb"/>
        <s v="Mar"/>
        <s v="Apr"/>
        <s v="Jun"/>
        <s v="Jul"/>
      </sharedItems>
    </cacheField>
    <cacheField name="Region" numFmtId="0">
      <sharedItems count="4">
        <s v="East"/>
        <s v="West"/>
        <s v="North"/>
        <s v="South"/>
      </sharedItems>
    </cacheField>
    <cacheField name="Area" numFmtId="0">
      <sharedItems/>
    </cacheField>
    <cacheField name="Territory" numFmtId="0">
      <sharedItems count="28">
        <s v="Dispur"/>
        <s v="Vadodara"/>
        <s v="Jammu"/>
        <s v="Bangalore"/>
        <s v="Shillong"/>
        <s v="Bikaner"/>
        <s v="Simla"/>
        <s v="Kochi"/>
        <s v="Imphal"/>
        <s v="Ajmer"/>
        <s v="Amrithsar"/>
        <s v="Chennai"/>
        <s v="Kohima"/>
        <s v="Ahmedabad"/>
        <s v="Nanital"/>
        <s v="Hyderabad"/>
        <s v="Agarthala"/>
        <s v="Mumbai"/>
        <s v="Delhi"/>
        <s v="Trichy"/>
        <s v="Nasik"/>
        <s v="Kapurthala"/>
        <s v="Warangal"/>
        <s v="Itanagar"/>
        <s v="Jaipur"/>
        <s v="Manali"/>
        <s v="Kollam"/>
        <s v="Bishnupur"/>
      </sharedItems>
    </cacheField>
    <cacheField name="Agent" numFmtId="0">
      <sharedItems/>
    </cacheField>
    <cacheField name="Units Sold" numFmtId="0">
      <sharedItems containsSemiMixedTypes="0" containsString="0" containsNumber="1" containsInteger="1" minValue="577" maxValue="9000"/>
    </cacheField>
    <cacheField name="Sales Value" numFmtId="0">
      <sharedItems containsSemiMixedTypes="0" containsString="0" containsNumber="1" containsInteger="1" minValue="9840" maxValue="200000" count="27">
        <n v="110000"/>
        <n v="20000"/>
        <n v="18000"/>
        <n v="200000"/>
        <n v="78000"/>
        <n v="74250"/>
        <n v="28000"/>
        <n v="135000"/>
        <n v="128000"/>
        <n v="102000"/>
        <n v="35750"/>
        <n v="15600"/>
        <n v="12300"/>
        <n v="124800"/>
        <n v="51000"/>
        <n v="53900"/>
        <n v="9840"/>
        <n v="157600"/>
        <n v="39480"/>
        <n v="36135"/>
        <n v="17900"/>
        <n v="12840"/>
        <n v="49280"/>
        <n v="11540"/>
        <n v="14805"/>
        <n v="143520"/>
        <n v="51120"/>
      </sharedItems>
    </cacheField>
    <cacheField name="Commission" numFmtId="0">
      <sharedItems containsSemiMixedTypes="0" containsString="0" containsNumber="1" minValue="492" maxValue="10000"/>
    </cacheField>
    <cacheField name="Profit" numFmtId="0">
      <sharedItems containsSemiMixedTypes="0" containsString="0" containsNumber="1" minValue="1462.5" maxValue="20250" count="28">
        <n v="4500"/>
        <n v="4000"/>
        <n v="2700"/>
        <n v="2500"/>
        <n v="9100"/>
        <n v="3037.5"/>
        <n v="5600"/>
        <n v="20250"/>
        <n v="1600"/>
        <n v="11900"/>
        <n v="1462.5"/>
        <n v="3120"/>
        <n v="1845"/>
        <n v="1560"/>
        <n v="5950"/>
        <n v="2205"/>
        <n v="3600"/>
        <n v="1476"/>
        <n v="1970"/>
        <n v="4606"/>
        <n v="1478.25"/>
        <n v="3580"/>
        <n v="1926"/>
        <n v="2016"/>
        <n v="2308"/>
        <n v="2220.75"/>
        <n v="1794"/>
        <n v="5964"/>
      </sharedItems>
    </cacheField>
    <cacheField name="COST " numFmtId="0" formula="'Sales Value'-Profit" databaseField="0"/>
    <cacheField name="cost" numFmtId="0" formula="'Sales Value'-Profit" databaseField="0"/>
  </cacheFields>
  <extLst>
    <ext xmlns:x14="http://schemas.microsoft.com/office/spreadsheetml/2009/9/main" uri="{725AE2AE-9491-48be-B2B4-4EB974FC3084}">
      <x14:pivotCacheDefinition pivotCacheId="1842487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s v="PC019"/>
    <x v="0"/>
    <n v="50"/>
    <n v="55"/>
    <x v="0"/>
    <x v="0"/>
    <s v="Assam"/>
    <x v="0"/>
    <s v="ABC"/>
    <n v="2000"/>
    <x v="0"/>
    <n v="5500"/>
    <x v="0"/>
  </r>
  <r>
    <x v="1"/>
    <s v="PC001"/>
    <x v="1"/>
    <n v="15"/>
    <n v="20"/>
    <x v="0"/>
    <x v="1"/>
    <s v="Gujarat"/>
    <x v="1"/>
    <s v="GTC"/>
    <n v="1000"/>
    <x v="1"/>
    <n v="1000"/>
    <x v="1"/>
  </r>
  <r>
    <x v="2"/>
    <s v="PC003"/>
    <x v="2"/>
    <n v="12"/>
    <n v="15"/>
    <x v="0"/>
    <x v="2"/>
    <s v="J&amp;K"/>
    <x v="2"/>
    <s v="JKTC"/>
    <n v="1200"/>
    <x v="2"/>
    <n v="900"/>
    <x v="2"/>
  </r>
  <r>
    <x v="3"/>
    <s v="PC043"/>
    <x v="3"/>
    <n v="150"/>
    <n v="160"/>
    <x v="0"/>
    <x v="3"/>
    <s v="Karnataka"/>
    <x v="3"/>
    <s v="KATC"/>
    <n v="1250"/>
    <x v="3"/>
    <n v="10000"/>
    <x v="3"/>
  </r>
  <r>
    <x v="4"/>
    <s v="PC021"/>
    <x v="4"/>
    <n v="50"/>
    <n v="60"/>
    <x v="0"/>
    <x v="0"/>
    <s v="Meghalaya"/>
    <x v="4"/>
    <s v="MTC"/>
    <n v="1300"/>
    <x v="4"/>
    <n v="3900"/>
    <x v="4"/>
  </r>
  <r>
    <x v="5"/>
    <s v="PC019"/>
    <x v="0"/>
    <n v="50"/>
    <n v="55"/>
    <x v="1"/>
    <x v="1"/>
    <s v="Rajesthan"/>
    <x v="5"/>
    <s v="RTC"/>
    <n v="1350"/>
    <x v="5"/>
    <n v="3712.5"/>
    <x v="5"/>
  </r>
  <r>
    <x v="6"/>
    <s v="PC001"/>
    <x v="1"/>
    <n v="15"/>
    <n v="20"/>
    <x v="1"/>
    <x v="2"/>
    <s v="HP"/>
    <x v="6"/>
    <s v="HPTC"/>
    <n v="1400"/>
    <x v="6"/>
    <n v="1400"/>
    <x v="6"/>
  </r>
  <r>
    <x v="7"/>
    <s v="PC003"/>
    <x v="2"/>
    <n v="12"/>
    <n v="15"/>
    <x v="1"/>
    <x v="3"/>
    <s v="Kerala"/>
    <x v="7"/>
    <s v="KETC"/>
    <n v="9000"/>
    <x v="7"/>
    <n v="6750"/>
    <x v="7"/>
  </r>
  <r>
    <x v="8"/>
    <s v="PC043"/>
    <x v="3"/>
    <n v="150"/>
    <n v="160"/>
    <x v="1"/>
    <x v="0"/>
    <s v="Manipur"/>
    <x v="8"/>
    <s v="MATC"/>
    <n v="800"/>
    <x v="8"/>
    <n v="6400"/>
    <x v="8"/>
  </r>
  <r>
    <x v="9"/>
    <s v="PC021"/>
    <x v="4"/>
    <n v="50"/>
    <n v="60"/>
    <x v="1"/>
    <x v="1"/>
    <s v="Rajesthan"/>
    <x v="9"/>
    <s v="RTC"/>
    <n v="1700"/>
    <x v="9"/>
    <n v="5100"/>
    <x v="9"/>
  </r>
  <r>
    <x v="10"/>
    <s v="PC019"/>
    <x v="0"/>
    <n v="50"/>
    <n v="55"/>
    <x v="2"/>
    <x v="2"/>
    <s v="Punjab"/>
    <x v="10"/>
    <s v="PTC"/>
    <n v="650"/>
    <x v="10"/>
    <n v="1787.5"/>
    <x v="10"/>
  </r>
  <r>
    <x v="11"/>
    <s v="PC001"/>
    <x v="1"/>
    <n v="15"/>
    <n v="20"/>
    <x v="2"/>
    <x v="3"/>
    <s v="TN"/>
    <x v="11"/>
    <s v="TNTC"/>
    <n v="780"/>
    <x v="11"/>
    <n v="780"/>
    <x v="11"/>
  </r>
  <r>
    <x v="12"/>
    <s v="PC003"/>
    <x v="2"/>
    <n v="12"/>
    <n v="15"/>
    <x v="2"/>
    <x v="0"/>
    <s v="Nagaland"/>
    <x v="12"/>
    <s v="NTC"/>
    <n v="820"/>
    <x v="12"/>
    <n v="615"/>
    <x v="12"/>
  </r>
  <r>
    <x v="13"/>
    <s v="PC043"/>
    <x v="3"/>
    <n v="150"/>
    <n v="160"/>
    <x v="2"/>
    <x v="1"/>
    <s v="Gujarat"/>
    <x v="13"/>
    <s v="GTC"/>
    <n v="780"/>
    <x v="13"/>
    <n v="6240"/>
    <x v="13"/>
  </r>
  <r>
    <x v="14"/>
    <s v="PC021"/>
    <x v="4"/>
    <n v="50"/>
    <n v="60"/>
    <x v="2"/>
    <x v="2"/>
    <s v="Uttaranchal"/>
    <x v="14"/>
    <s v="UTC"/>
    <n v="850"/>
    <x v="14"/>
    <n v="2550"/>
    <x v="14"/>
  </r>
  <r>
    <x v="15"/>
    <s v="PC019"/>
    <x v="0"/>
    <n v="50"/>
    <n v="55"/>
    <x v="3"/>
    <x v="3"/>
    <s v="AP"/>
    <x v="15"/>
    <s v="APTC"/>
    <n v="980"/>
    <x v="15"/>
    <n v="2695"/>
    <x v="15"/>
  </r>
  <r>
    <x v="16"/>
    <s v="PC001"/>
    <x v="1"/>
    <n v="15"/>
    <n v="20"/>
    <x v="3"/>
    <x v="0"/>
    <s v="Tripura"/>
    <x v="16"/>
    <s v="TTC"/>
    <n v="900"/>
    <x v="2"/>
    <n v="900"/>
    <x v="16"/>
  </r>
  <r>
    <x v="17"/>
    <s v="PC003"/>
    <x v="2"/>
    <n v="12"/>
    <n v="15"/>
    <x v="3"/>
    <x v="1"/>
    <s v="Maharastra"/>
    <x v="17"/>
    <s v="MHTC"/>
    <n v="656"/>
    <x v="16"/>
    <n v="492"/>
    <x v="17"/>
  </r>
  <r>
    <x v="18"/>
    <s v="PC043"/>
    <x v="3"/>
    <n v="150"/>
    <n v="160"/>
    <x v="3"/>
    <x v="2"/>
    <s v="Delhi"/>
    <x v="18"/>
    <s v="DTC"/>
    <n v="985"/>
    <x v="17"/>
    <n v="7880"/>
    <x v="18"/>
  </r>
  <r>
    <x v="19"/>
    <s v="PC021"/>
    <x v="4"/>
    <n v="50"/>
    <n v="60"/>
    <x v="3"/>
    <x v="3"/>
    <s v="TN"/>
    <x v="19"/>
    <s v="TNTC"/>
    <n v="658"/>
    <x v="18"/>
    <n v="1974"/>
    <x v="19"/>
  </r>
  <r>
    <x v="20"/>
    <s v="PC019"/>
    <x v="0"/>
    <n v="50"/>
    <n v="55"/>
    <x v="4"/>
    <x v="0"/>
    <s v="Tripura"/>
    <x v="16"/>
    <s v="TRTC"/>
    <n v="657"/>
    <x v="19"/>
    <n v="1806.75"/>
    <x v="20"/>
  </r>
  <r>
    <x v="21"/>
    <s v="PC001"/>
    <x v="1"/>
    <n v="15"/>
    <n v="20"/>
    <x v="4"/>
    <x v="1"/>
    <s v="Maharastra"/>
    <x v="20"/>
    <s v="MHTC"/>
    <n v="895"/>
    <x v="20"/>
    <n v="895"/>
    <x v="21"/>
  </r>
  <r>
    <x v="22"/>
    <s v="PC003"/>
    <x v="2"/>
    <n v="12"/>
    <n v="15"/>
    <x v="4"/>
    <x v="2"/>
    <s v="Punjab"/>
    <x v="21"/>
    <s v="PTC"/>
    <n v="856"/>
    <x v="21"/>
    <n v="642"/>
    <x v="22"/>
  </r>
  <r>
    <x v="23"/>
    <s v="PC043"/>
    <x v="3"/>
    <n v="150"/>
    <n v="160"/>
    <x v="4"/>
    <x v="3"/>
    <s v="AP"/>
    <x v="22"/>
    <s v="APTC"/>
    <n v="985"/>
    <x v="17"/>
    <n v="7880"/>
    <x v="18"/>
  </r>
  <r>
    <x v="24"/>
    <s v="PC021"/>
    <x v="4"/>
    <n v="50"/>
    <n v="60"/>
    <x v="4"/>
    <x v="0"/>
    <s v="Arunachal Pradesh"/>
    <x v="23"/>
    <s v="ARTC"/>
    <n v="658"/>
    <x v="18"/>
    <n v="1974"/>
    <x v="19"/>
  </r>
  <r>
    <x v="25"/>
    <s v="PC019"/>
    <x v="0"/>
    <n v="50"/>
    <n v="55"/>
    <x v="5"/>
    <x v="1"/>
    <s v="Rajesthan"/>
    <x v="24"/>
    <s v="RTC"/>
    <n v="896"/>
    <x v="22"/>
    <n v="2464"/>
    <x v="23"/>
  </r>
  <r>
    <x v="26"/>
    <s v="PC001"/>
    <x v="1"/>
    <n v="15"/>
    <n v="20"/>
    <x v="5"/>
    <x v="2"/>
    <s v="HP"/>
    <x v="25"/>
    <s v="HPTC"/>
    <n v="577"/>
    <x v="23"/>
    <n v="577"/>
    <x v="24"/>
  </r>
  <r>
    <x v="27"/>
    <s v="PC003"/>
    <x v="2"/>
    <n v="12"/>
    <n v="15"/>
    <x v="5"/>
    <x v="3"/>
    <s v="Kerala"/>
    <x v="26"/>
    <s v="KETC"/>
    <n v="987"/>
    <x v="24"/>
    <n v="740.25"/>
    <x v="25"/>
  </r>
  <r>
    <x v="28"/>
    <s v="PC043"/>
    <x v="3"/>
    <n v="150"/>
    <n v="160"/>
    <x v="5"/>
    <x v="0"/>
    <s v="Manipur"/>
    <x v="27"/>
    <s v="MATC"/>
    <n v="897"/>
    <x v="25"/>
    <n v="7176"/>
    <x v="26"/>
  </r>
  <r>
    <x v="29"/>
    <s v="PC021"/>
    <x v="4"/>
    <n v="50"/>
    <n v="60"/>
    <x v="5"/>
    <x v="1"/>
    <s v="Rajesthan"/>
    <x v="24"/>
    <s v="RTC"/>
    <n v="852"/>
    <x v="26"/>
    <n v="2556"/>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F3E242-1FD4-4C47-A7D8-F316C591E4D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16">
    <pivotField numFmtId="14" showAll="0"/>
    <pivotField showAll="0"/>
    <pivotField showAll="0">
      <items count="6">
        <item x="2"/>
        <item x="0"/>
        <item x="1"/>
        <item x="4"/>
        <item x="3"/>
        <item t="default"/>
      </items>
    </pivotField>
    <pivotField showAll="0"/>
    <pivotField showAll="0"/>
    <pivotField showAll="0">
      <items count="7">
        <item x="0"/>
        <item x="1"/>
        <item x="2"/>
        <item x="3"/>
        <item x="4"/>
        <item x="5"/>
        <item t="default"/>
      </items>
    </pivotField>
    <pivotField axis="axisRow" showAll="0">
      <items count="5">
        <item x="0"/>
        <item x="2"/>
        <item x="3"/>
        <item x="1"/>
        <item t="default"/>
      </items>
    </pivotField>
    <pivotField showAll="0"/>
    <pivotField showAll="0">
      <items count="29">
        <item x="16"/>
        <item x="13"/>
        <item x="9"/>
        <item x="10"/>
        <item x="3"/>
        <item x="5"/>
        <item x="27"/>
        <item x="11"/>
        <item x="18"/>
        <item x="0"/>
        <item x="15"/>
        <item x="8"/>
        <item x="23"/>
        <item x="24"/>
        <item x="2"/>
        <item x="21"/>
        <item x="7"/>
        <item x="12"/>
        <item x="26"/>
        <item x="25"/>
        <item x="17"/>
        <item x="14"/>
        <item x="20"/>
        <item x="4"/>
        <item x="6"/>
        <item x="19"/>
        <item x="1"/>
        <item x="22"/>
        <item t="default"/>
      </items>
    </pivotField>
    <pivotField showAll="0"/>
    <pivotField showAll="0"/>
    <pivotField showAll="0">
      <items count="28">
        <item x="16"/>
        <item x="23"/>
        <item x="12"/>
        <item x="21"/>
        <item x="24"/>
        <item x="11"/>
        <item x="20"/>
        <item x="2"/>
        <item x="1"/>
        <item x="6"/>
        <item x="10"/>
        <item x="19"/>
        <item x="18"/>
        <item x="22"/>
        <item x="14"/>
        <item x="26"/>
        <item x="15"/>
        <item x="5"/>
        <item x="4"/>
        <item x="9"/>
        <item x="0"/>
        <item x="13"/>
        <item x="8"/>
        <item x="7"/>
        <item x="25"/>
        <item x="17"/>
        <item x="3"/>
        <item t="default"/>
      </items>
    </pivotField>
    <pivotField showAll="0"/>
    <pivotField dataField="1" showAll="0">
      <items count="29">
        <item x="10"/>
        <item x="17"/>
        <item x="20"/>
        <item x="13"/>
        <item x="8"/>
        <item x="26"/>
        <item x="12"/>
        <item x="22"/>
        <item x="18"/>
        <item x="23"/>
        <item x="15"/>
        <item x="25"/>
        <item x="24"/>
        <item x="3"/>
        <item x="2"/>
        <item x="5"/>
        <item x="11"/>
        <item x="21"/>
        <item x="16"/>
        <item x="1"/>
        <item x="0"/>
        <item x="19"/>
        <item x="6"/>
        <item x="14"/>
        <item x="27"/>
        <item x="4"/>
        <item x="9"/>
        <item x="7"/>
        <item t="default"/>
      </items>
    </pivotField>
    <pivotField dragToRow="0" dragToCol="0" dragToPage="0" showAll="0" defaultSubtotal="0"/>
    <pivotField dragToRow="0" dragToCol="0" dragToPage="0" showAll="0" defaultSubtotal="0"/>
  </pivotFields>
  <rowFields count="1">
    <field x="6"/>
  </rowFields>
  <rowItems count="5">
    <i>
      <x/>
    </i>
    <i>
      <x v="1"/>
    </i>
    <i>
      <x v="2"/>
    </i>
    <i>
      <x v="3"/>
    </i>
    <i t="grand">
      <x/>
    </i>
  </rowItems>
  <colItems count="1">
    <i/>
  </colItems>
  <dataFields count="1">
    <dataField name="Sum of Profit"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32B116-DB4A-4B66-A6AC-C77BEB2C8E28}"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0" firstHeaderRow="1" firstDataRow="1" firstDataCol="1"/>
  <pivotFields count="16">
    <pivotField numFmtId="14" showAll="0"/>
    <pivotField showAll="0"/>
    <pivotField showAll="0">
      <items count="6">
        <item x="2"/>
        <item x="0"/>
        <item x="1"/>
        <item x="4"/>
        <item x="3"/>
        <item t="default"/>
      </items>
    </pivotField>
    <pivotField showAll="0"/>
    <pivotField showAll="0"/>
    <pivotField axis="axisRow" showAll="0">
      <items count="7">
        <item x="0"/>
        <item x="1"/>
        <item x="2"/>
        <item x="3"/>
        <item x="4"/>
        <item x="5"/>
        <item t="default"/>
      </items>
    </pivotField>
    <pivotField showAll="0">
      <items count="5">
        <item x="0"/>
        <item x="2"/>
        <item x="3"/>
        <item x="1"/>
        <item t="default"/>
      </items>
    </pivotField>
    <pivotField showAll="0"/>
    <pivotField showAll="0"/>
    <pivotField showAll="0"/>
    <pivotField showAll="0"/>
    <pivotField showAll="0">
      <items count="28">
        <item x="16"/>
        <item x="23"/>
        <item x="12"/>
        <item x="21"/>
        <item x="24"/>
        <item x="11"/>
        <item x="20"/>
        <item x="2"/>
        <item x="1"/>
        <item x="6"/>
        <item x="10"/>
        <item x="19"/>
        <item x="18"/>
        <item x="22"/>
        <item x="14"/>
        <item x="26"/>
        <item x="15"/>
        <item x="5"/>
        <item x="4"/>
        <item x="9"/>
        <item x="0"/>
        <item x="13"/>
        <item x="8"/>
        <item x="7"/>
        <item x="25"/>
        <item x="17"/>
        <item x="3"/>
        <item t="default"/>
      </items>
    </pivotField>
    <pivotField showAll="0"/>
    <pivotField dataField="1" showAll="0">
      <items count="29">
        <item x="10"/>
        <item x="17"/>
        <item x="20"/>
        <item x="13"/>
        <item x="8"/>
        <item x="26"/>
        <item x="12"/>
        <item x="22"/>
        <item x="18"/>
        <item x="23"/>
        <item x="15"/>
        <item x="25"/>
        <item x="24"/>
        <item x="3"/>
        <item x="2"/>
        <item x="5"/>
        <item x="11"/>
        <item x="21"/>
        <item x="16"/>
        <item x="1"/>
        <item x="0"/>
        <item x="19"/>
        <item x="6"/>
        <item x="14"/>
        <item x="27"/>
        <item x="4"/>
        <item x="9"/>
        <item x="7"/>
        <item t="default"/>
      </items>
    </pivotField>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Items count="1">
    <i/>
  </colItems>
  <dataFields count="1">
    <dataField name="Sum of Profit" fld="13" baseField="0" baseItem="0"/>
  </dataFields>
  <chartFormats count="2">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CDFEB0-2F17-4351-BB6E-753312A40AB8}"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C9" firstHeaderRow="0" firstDataRow="1" firstDataCol="1"/>
  <pivotFields count="16">
    <pivotField numFmtId="14" showAll="0"/>
    <pivotField showAll="0"/>
    <pivotField axis="axisRow" showAll="0">
      <items count="6">
        <item x="2"/>
        <item x="0"/>
        <item x="1"/>
        <item x="4"/>
        <item x="3"/>
        <item t="default"/>
      </items>
    </pivotField>
    <pivotField showAll="0"/>
    <pivotField showAll="0"/>
    <pivotField showAll="0">
      <items count="7">
        <item x="0"/>
        <item x="1"/>
        <item x="2"/>
        <item x="3"/>
        <item x="4"/>
        <item x="5"/>
        <item t="default"/>
      </items>
    </pivotField>
    <pivotField showAll="0">
      <items count="5">
        <item x="0"/>
        <item x="2"/>
        <item x="3"/>
        <item x="1"/>
        <item t="default"/>
      </items>
    </pivotField>
    <pivotField showAll="0"/>
    <pivotField showAll="0"/>
    <pivotField showAll="0"/>
    <pivotField showAll="0"/>
    <pivotField dataField="1" showAll="0">
      <items count="28">
        <item x="16"/>
        <item x="23"/>
        <item x="12"/>
        <item x="21"/>
        <item x="24"/>
        <item x="11"/>
        <item x="20"/>
        <item x="2"/>
        <item x="1"/>
        <item x="6"/>
        <item x="10"/>
        <item x="19"/>
        <item x="18"/>
        <item x="22"/>
        <item x="14"/>
        <item x="26"/>
        <item x="15"/>
        <item x="5"/>
        <item x="4"/>
        <item x="9"/>
        <item x="0"/>
        <item x="13"/>
        <item x="8"/>
        <item x="7"/>
        <item x="25"/>
        <item x="17"/>
        <item x="3"/>
        <item t="default"/>
      </items>
    </pivotField>
    <pivotField showAll="0"/>
    <pivotField dataField="1" showAll="0">
      <items count="29">
        <item x="10"/>
        <item x="17"/>
        <item x="20"/>
        <item x="13"/>
        <item x="8"/>
        <item x="26"/>
        <item x="12"/>
        <item x="22"/>
        <item x="18"/>
        <item x="23"/>
        <item x="15"/>
        <item x="25"/>
        <item x="24"/>
        <item x="3"/>
        <item x="2"/>
        <item x="5"/>
        <item x="11"/>
        <item x="21"/>
        <item x="16"/>
        <item x="1"/>
        <item x="0"/>
        <item x="19"/>
        <item x="6"/>
        <item x="14"/>
        <item x="27"/>
        <item x="4"/>
        <item x="9"/>
        <item x="7"/>
        <item t="default"/>
      </items>
    </pivotField>
    <pivotField dragToRow="0" dragToCol="0" dragToPage="0" showAll="0" defaultSubtotal="0"/>
    <pivotField dragToRow="0" dragToCol="0" dragToPage="0" showAll="0" defaultSubtotal="0"/>
  </pivotFields>
  <rowFields count="1">
    <field x="2"/>
  </rowFields>
  <rowItems count="6">
    <i>
      <x/>
    </i>
    <i>
      <x v="1"/>
    </i>
    <i>
      <x v="2"/>
    </i>
    <i>
      <x v="3"/>
    </i>
    <i>
      <x v="4"/>
    </i>
    <i t="grand">
      <x/>
    </i>
  </rowItems>
  <colFields count="1">
    <field x="-2"/>
  </colFields>
  <colItems count="2">
    <i>
      <x/>
    </i>
    <i i="1">
      <x v="1"/>
    </i>
  </colItems>
  <dataFields count="2">
    <dataField name="Sum of Profit" fld="13" baseField="0" baseItem="0"/>
    <dataField name="Sum of Sales Value" fld="11" baseField="0"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27C93F-8E85-4AEC-A990-ED92C4C483BC}"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4" firstHeaderRow="1" firstDataRow="1" firstDataCol="1"/>
  <pivotFields count="16">
    <pivotField axis="axisRow" numFmtId="14" showAll="0" measureFilter="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6">
        <item x="2"/>
        <item x="0"/>
        <item x="1"/>
        <item x="4"/>
        <item x="3"/>
        <item t="default"/>
      </items>
    </pivotField>
    <pivotField showAll="0"/>
    <pivotField showAll="0"/>
    <pivotField showAll="0">
      <items count="7">
        <item x="0"/>
        <item x="1"/>
        <item x="2"/>
        <item x="3"/>
        <item x="4"/>
        <item x="5"/>
        <item t="default"/>
      </items>
    </pivotField>
    <pivotField showAll="0">
      <items count="5">
        <item x="0"/>
        <item x="2"/>
        <item x="3"/>
        <item x="1"/>
        <item t="default"/>
      </items>
    </pivotField>
    <pivotField showAll="0"/>
    <pivotField showAll="0"/>
    <pivotField showAll="0"/>
    <pivotField showAll="0"/>
    <pivotField dataField="1" showAll="0">
      <items count="28">
        <item x="16"/>
        <item x="23"/>
        <item x="12"/>
        <item x="21"/>
        <item x="24"/>
        <item x="11"/>
        <item x="20"/>
        <item x="2"/>
        <item x="1"/>
        <item x="6"/>
        <item x="10"/>
        <item x="19"/>
        <item x="18"/>
        <item x="22"/>
        <item x="14"/>
        <item x="26"/>
        <item x="15"/>
        <item x="5"/>
        <item x="4"/>
        <item x="9"/>
        <item x="0"/>
        <item x="13"/>
        <item x="8"/>
        <item x="7"/>
        <item x="25"/>
        <item x="17"/>
        <item x="3"/>
        <item t="default"/>
      </items>
    </pivotField>
    <pivotField showAll="0"/>
    <pivotField showAll="0">
      <items count="29">
        <item x="10"/>
        <item x="17"/>
        <item x="20"/>
        <item x="13"/>
        <item x="8"/>
        <item x="26"/>
        <item x="12"/>
        <item x="22"/>
        <item x="18"/>
        <item x="23"/>
        <item x="15"/>
        <item x="25"/>
        <item x="24"/>
        <item x="3"/>
        <item x="2"/>
        <item x="5"/>
        <item x="11"/>
        <item x="21"/>
        <item x="16"/>
        <item x="1"/>
        <item x="0"/>
        <item x="19"/>
        <item x="6"/>
        <item x="14"/>
        <item x="27"/>
        <item x="4"/>
        <item x="9"/>
        <item x="7"/>
        <item t="default"/>
      </items>
    </pivotField>
    <pivotField dragToRow="0" dragToCol="0" dragToPage="0" showAll="0" defaultSubtotal="0"/>
    <pivotField dragToRow="0" dragToCol="0" dragToPage="0" showAll="0" defaultSubtotal="0"/>
  </pivotFields>
  <rowFields count="1">
    <field x="0"/>
  </rowFields>
  <rowItems count="11">
    <i>
      <x/>
    </i>
    <i>
      <x v="3"/>
    </i>
    <i>
      <x v="4"/>
    </i>
    <i>
      <x v="7"/>
    </i>
    <i>
      <x v="8"/>
    </i>
    <i>
      <x v="9"/>
    </i>
    <i>
      <x v="13"/>
    </i>
    <i>
      <x v="18"/>
    </i>
    <i>
      <x v="23"/>
    </i>
    <i>
      <x v="28"/>
    </i>
    <i t="grand">
      <x/>
    </i>
  </rowItems>
  <colItems count="1">
    <i/>
  </colItems>
  <dataFields count="1">
    <dataField name="Sum of Sales Value" fld="11"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C29714-B97B-4DF4-87E6-9863E7CC0483}"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C9" firstHeaderRow="0" firstDataRow="1" firstDataCol="1"/>
  <pivotFields count="16">
    <pivotField numFmtId="14" showAll="0"/>
    <pivotField showAll="0"/>
    <pivotField showAll="0">
      <items count="6">
        <item x="2"/>
        <item x="0"/>
        <item x="1"/>
        <item x="4"/>
        <item x="3"/>
        <item t="default"/>
      </items>
    </pivotField>
    <pivotField showAll="0"/>
    <pivotField showAll="0"/>
    <pivotField showAll="0">
      <items count="7">
        <item x="0"/>
        <item x="1"/>
        <item x="2"/>
        <item x="3"/>
        <item x="4"/>
        <item x="5"/>
        <item t="default"/>
      </items>
    </pivotField>
    <pivotField showAll="0">
      <items count="5">
        <item x="0"/>
        <item x="2"/>
        <item x="3"/>
        <item x="1"/>
        <item t="default"/>
      </items>
    </pivotField>
    <pivotField showAll="0"/>
    <pivotField axis="axisRow" showAll="0" measureFilter="1">
      <items count="29">
        <item x="16"/>
        <item x="13"/>
        <item x="9"/>
        <item x="10"/>
        <item x="3"/>
        <item x="5"/>
        <item x="27"/>
        <item x="11"/>
        <item x="18"/>
        <item x="0"/>
        <item x="15"/>
        <item x="8"/>
        <item x="23"/>
        <item x="24"/>
        <item x="2"/>
        <item x="21"/>
        <item x="7"/>
        <item x="12"/>
        <item x="26"/>
        <item x="25"/>
        <item x="17"/>
        <item x="14"/>
        <item x="20"/>
        <item x="4"/>
        <item x="6"/>
        <item x="19"/>
        <item x="1"/>
        <item x="22"/>
        <item t="default"/>
      </items>
    </pivotField>
    <pivotField showAll="0"/>
    <pivotField showAll="0"/>
    <pivotField dataField="1" showAll="0">
      <items count="28">
        <item x="16"/>
        <item x="23"/>
        <item x="12"/>
        <item x="21"/>
        <item x="24"/>
        <item x="11"/>
        <item x="20"/>
        <item x="2"/>
        <item x="1"/>
        <item x="6"/>
        <item x="10"/>
        <item x="19"/>
        <item x="18"/>
        <item x="22"/>
        <item x="14"/>
        <item x="26"/>
        <item x="15"/>
        <item x="5"/>
        <item x="4"/>
        <item x="9"/>
        <item x="0"/>
        <item x="13"/>
        <item x="8"/>
        <item x="7"/>
        <item x="25"/>
        <item x="17"/>
        <item x="3"/>
        <item t="default"/>
      </items>
    </pivotField>
    <pivotField showAll="0"/>
    <pivotField showAll="0">
      <items count="29">
        <item x="10"/>
        <item x="17"/>
        <item x="20"/>
        <item x="13"/>
        <item x="8"/>
        <item x="26"/>
        <item x="12"/>
        <item x="22"/>
        <item x="18"/>
        <item x="23"/>
        <item x="15"/>
        <item x="25"/>
        <item x="24"/>
        <item x="3"/>
        <item x="2"/>
        <item x="5"/>
        <item x="11"/>
        <item x="21"/>
        <item x="16"/>
        <item x="1"/>
        <item x="0"/>
        <item x="19"/>
        <item x="6"/>
        <item x="14"/>
        <item x="27"/>
        <item x="4"/>
        <item x="9"/>
        <item x="7"/>
        <item t="default"/>
      </items>
    </pivotField>
    <pivotField dataField="1" dragToRow="0" dragToCol="0" dragToPage="0" showAll="0" defaultSubtotal="0"/>
    <pivotField dragToRow="0" dragToCol="0" dragToPage="0" showAll="0" defaultSubtotal="0"/>
  </pivotFields>
  <rowFields count="1">
    <field x="8"/>
  </rowFields>
  <rowItems count="6">
    <i>
      <x v="4"/>
    </i>
    <i>
      <x v="6"/>
    </i>
    <i>
      <x v="8"/>
    </i>
    <i>
      <x v="16"/>
    </i>
    <i>
      <x v="27"/>
    </i>
    <i t="grand">
      <x/>
    </i>
  </rowItems>
  <colFields count="1">
    <field x="-2"/>
  </colFields>
  <colItems count="2">
    <i>
      <x/>
    </i>
    <i i="1">
      <x v="1"/>
    </i>
  </colItems>
  <dataFields count="2">
    <dataField name="Sum of Sales Value" fld="11" baseField="0" baseItem="0"/>
    <dataField name="Sum of COST " fld="14" baseField="0" baseItem="0"/>
  </dataField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8" count="1" selected="0">
            <x v="4"/>
          </reference>
        </references>
      </pivotArea>
    </chartFormat>
    <chartFormat chart="4" format="16">
      <pivotArea type="data" outline="0" fieldPosition="0">
        <references count="2">
          <reference field="4294967294" count="1" selected="0">
            <x v="0"/>
          </reference>
          <reference field="8" count="1" selected="0">
            <x v="6"/>
          </reference>
        </references>
      </pivotArea>
    </chartFormat>
    <chartFormat chart="4" format="17">
      <pivotArea type="data" outline="0" fieldPosition="0">
        <references count="2">
          <reference field="4294967294" count="1" selected="0">
            <x v="0"/>
          </reference>
          <reference field="8" count="1" selected="0">
            <x v="8"/>
          </reference>
        </references>
      </pivotArea>
    </chartFormat>
    <chartFormat chart="4" format="18">
      <pivotArea type="data" outline="0" fieldPosition="0">
        <references count="2">
          <reference field="4294967294" count="1" selected="0">
            <x v="0"/>
          </reference>
          <reference field="8" count="1" selected="0">
            <x v="16"/>
          </reference>
        </references>
      </pivotArea>
    </chartFormat>
    <chartFormat chart="4" format="19">
      <pivotArea type="data" outline="0" fieldPosition="0">
        <references count="2">
          <reference field="4294967294" count="1" selected="0">
            <x v="0"/>
          </reference>
          <reference field="8" count="1" selected="0">
            <x v="27"/>
          </reference>
        </references>
      </pivotArea>
    </chartFormat>
    <chartFormat chart="4" format="20" series="1">
      <pivotArea type="data" outline="0" fieldPosition="0">
        <references count="1">
          <reference field="4294967294" count="1" selected="0">
            <x v="1"/>
          </reference>
        </references>
      </pivotArea>
    </chartFormat>
    <chartFormat chart="4" format="21">
      <pivotArea type="data" outline="0" fieldPosition="0">
        <references count="2">
          <reference field="4294967294" count="1" selected="0">
            <x v="1"/>
          </reference>
          <reference field="8" count="1" selected="0">
            <x v="4"/>
          </reference>
        </references>
      </pivotArea>
    </chartFormat>
    <chartFormat chart="4" format="22">
      <pivotArea type="data" outline="0" fieldPosition="0">
        <references count="2">
          <reference field="4294967294" count="1" selected="0">
            <x v="1"/>
          </reference>
          <reference field="8" count="1" selected="0">
            <x v="6"/>
          </reference>
        </references>
      </pivotArea>
    </chartFormat>
    <chartFormat chart="4" format="23">
      <pivotArea type="data" outline="0" fieldPosition="0">
        <references count="2">
          <reference field="4294967294" count="1" selected="0">
            <x v="1"/>
          </reference>
          <reference field="8" count="1" selected="0">
            <x v="8"/>
          </reference>
        </references>
      </pivotArea>
    </chartFormat>
    <chartFormat chart="4" format="24">
      <pivotArea type="data" outline="0" fieldPosition="0">
        <references count="2">
          <reference field="4294967294" count="1" selected="0">
            <x v="1"/>
          </reference>
          <reference field="8" count="1" selected="0">
            <x v="16"/>
          </reference>
        </references>
      </pivotArea>
    </chartFormat>
    <chartFormat chart="4" format="25">
      <pivotArea type="data" outline="0" fieldPosition="0">
        <references count="2">
          <reference field="4294967294" count="1" selected="0">
            <x v="1"/>
          </reference>
          <reference field="8" count="1" selected="0">
            <x v="27"/>
          </reference>
        </references>
      </pivotArea>
    </chartFormat>
    <chartFormat chart="0" format="2">
      <pivotArea type="data" outline="0" fieldPosition="0">
        <references count="2">
          <reference field="4294967294" count="1" selected="0">
            <x v="0"/>
          </reference>
          <reference field="8" count="1" selected="0">
            <x v="4"/>
          </reference>
        </references>
      </pivotArea>
    </chartFormat>
    <chartFormat chart="0" format="3">
      <pivotArea type="data" outline="0" fieldPosition="0">
        <references count="2">
          <reference field="4294967294" count="1" selected="0">
            <x v="0"/>
          </reference>
          <reference field="8" count="1" selected="0">
            <x v="6"/>
          </reference>
        </references>
      </pivotArea>
    </chartFormat>
    <chartFormat chart="0" format="4">
      <pivotArea type="data" outline="0" fieldPosition="0">
        <references count="2">
          <reference field="4294967294" count="1" selected="0">
            <x v="0"/>
          </reference>
          <reference field="8" count="1" selected="0">
            <x v="8"/>
          </reference>
        </references>
      </pivotArea>
    </chartFormat>
    <chartFormat chart="0" format="5">
      <pivotArea type="data" outline="0" fieldPosition="0">
        <references count="2">
          <reference field="4294967294" count="1" selected="0">
            <x v="0"/>
          </reference>
          <reference field="8" count="1" selected="0">
            <x v="16"/>
          </reference>
        </references>
      </pivotArea>
    </chartFormat>
    <chartFormat chart="0" format="6">
      <pivotArea type="data" outline="0" fieldPosition="0">
        <references count="2">
          <reference field="4294967294" count="1" selected="0">
            <x v="0"/>
          </reference>
          <reference field="8" count="1" selected="0">
            <x v="27"/>
          </reference>
        </references>
      </pivotArea>
    </chartFormat>
    <chartFormat chart="0" format="7">
      <pivotArea type="data" outline="0" fieldPosition="0">
        <references count="2">
          <reference field="4294967294" count="1" selected="0">
            <x v="1"/>
          </reference>
          <reference field="8" count="1" selected="0">
            <x v="4"/>
          </reference>
        </references>
      </pivotArea>
    </chartFormat>
    <chartFormat chart="0" format="8">
      <pivotArea type="data" outline="0" fieldPosition="0">
        <references count="2">
          <reference field="4294967294" count="1" selected="0">
            <x v="1"/>
          </reference>
          <reference field="8" count="1" selected="0">
            <x v="6"/>
          </reference>
        </references>
      </pivotArea>
    </chartFormat>
    <chartFormat chart="0" format="9">
      <pivotArea type="data" outline="0" fieldPosition="0">
        <references count="2">
          <reference field="4294967294" count="1" selected="0">
            <x v="1"/>
          </reference>
          <reference field="8" count="1" selected="0">
            <x v="8"/>
          </reference>
        </references>
      </pivotArea>
    </chartFormat>
    <chartFormat chart="0" format="10">
      <pivotArea type="data" outline="0" fieldPosition="0">
        <references count="2">
          <reference field="4294967294" count="1" selected="0">
            <x v="1"/>
          </reference>
          <reference field="8" count="1" selected="0">
            <x v="16"/>
          </reference>
        </references>
      </pivotArea>
    </chartFormat>
    <chartFormat chart="0" format="11">
      <pivotArea type="data" outline="0" fieldPosition="0">
        <references count="2">
          <reference field="4294967294" count="1" selected="0">
            <x v="1"/>
          </reference>
          <reference field="8" count="1" selected="0">
            <x v="27"/>
          </reference>
        </references>
      </pivotArea>
    </chartFormat>
    <chartFormat chart="4" format="26">
      <pivotArea type="data" outline="0" fieldPosition="0">
        <references count="1">
          <reference field="4294967294" count="1" selected="0">
            <x v="0"/>
          </reference>
        </references>
      </pivotArea>
    </chartFormat>
    <chartFormat chart="4" format="27">
      <pivotArea type="data" outline="0" fieldPosition="0">
        <references count="1">
          <reference field="4294967294" count="1" selected="0">
            <x v="1"/>
          </reference>
        </references>
      </pivotArea>
    </chartFormat>
    <chartFormat chart="0" format="12">
      <pivotArea type="data" outline="0" fieldPosition="0">
        <references count="1">
          <reference field="4294967294" count="1" selected="0">
            <x v="0"/>
          </reference>
        </references>
      </pivotArea>
    </chartFormat>
    <chartFormat chart="0" format="13">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433375-FFCD-42AC-948D-3A6246C7AD5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16">
    <pivotField numFmtId="14" showAll="0"/>
    <pivotField showAll="0"/>
    <pivotField axis="axisRow" showAll="0" sortType="descending">
      <items count="6">
        <item x="2"/>
        <item x="0"/>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s>
  <rowFields count="1">
    <field x="2"/>
  </rowFields>
  <rowItems count="6">
    <i>
      <x v="3"/>
    </i>
    <i>
      <x/>
    </i>
    <i>
      <x v="2"/>
    </i>
    <i>
      <x v="1"/>
    </i>
    <i>
      <x v="4"/>
    </i>
    <i t="grand">
      <x/>
    </i>
  </rowItems>
  <colItems count="1">
    <i/>
  </colItems>
  <dataFields count="1">
    <dataField name="Sum of Profit" fld="13" baseField="0" baseItem="0"/>
  </dataFields>
  <formats count="1">
    <format dxfId="0">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66BBD5C5-4EF5-4462-9C95-88DEEA21FC69}" sourceName="Product Name">
  <pivotTables>
    <pivotTable tabId="3" name="PivotTable2"/>
    <pivotTable tabId="4" name="PivotTable3"/>
    <pivotTable tabId="5" name="PivotTable4"/>
    <pivotTable tabId="6" name="PivotTable5"/>
    <pivotTable tabId="2" name="PivotTable1"/>
  </pivotTables>
  <data>
    <tabular pivotCacheId="1842487224">
      <items count="5">
        <i x="2" s="1"/>
        <i x="0"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DBA4C48-58D9-40F7-A9C2-CEC7B4CD7334}" sourceName="Month">
  <pivotTables>
    <pivotTable tabId="3" name="PivotTable2"/>
    <pivotTable tabId="4" name="PivotTable3"/>
    <pivotTable tabId="5" name="PivotTable4"/>
    <pivotTable tabId="6" name="PivotTable5"/>
    <pivotTable tabId="2" name="PivotTable1"/>
  </pivotTables>
  <data>
    <tabular pivotCacheId="1842487224">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7B8443-FF4F-4849-AC4E-15E955248982}" sourceName="Region">
  <pivotTables>
    <pivotTable tabId="3" name="PivotTable2"/>
    <pivotTable tabId="4" name="PivotTable3"/>
    <pivotTable tabId="5" name="PivotTable4"/>
    <pivotTable tabId="6" name="PivotTable5"/>
    <pivotTable tabId="2" name="PivotTable1"/>
  </pivotTables>
  <data>
    <tabular pivotCacheId="1842487224">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Value" xr10:uid="{9DFFD421-ACF3-4E19-B183-D69128ADB3C0}" sourceName="Sales Value">
  <pivotTables>
    <pivotTable tabId="3" name="PivotTable2"/>
    <pivotTable tabId="4" name="PivotTable3"/>
    <pivotTable tabId="5" name="PivotTable4"/>
    <pivotTable tabId="6" name="PivotTable5"/>
    <pivotTable tabId="2" name="PivotTable1"/>
  </pivotTables>
  <data>
    <tabular pivotCacheId="1842487224">
      <items count="27">
        <i x="16" s="1"/>
        <i x="23" s="1"/>
        <i x="12" s="1"/>
        <i x="21" s="1"/>
        <i x="24" s="1"/>
        <i x="11" s="1"/>
        <i x="20" s="1"/>
        <i x="2" s="1"/>
        <i x="1" s="1"/>
        <i x="6" s="1"/>
        <i x="10" s="1"/>
        <i x="19" s="1"/>
        <i x="18" s="1"/>
        <i x="22" s="1"/>
        <i x="14" s="1"/>
        <i x="26" s="1"/>
        <i x="15" s="1"/>
        <i x="5" s="1"/>
        <i x="4" s="1"/>
        <i x="9" s="1"/>
        <i x="0" s="1"/>
        <i x="13" s="1"/>
        <i x="8" s="1"/>
        <i x="7" s="1"/>
        <i x="25" s="1"/>
        <i x="17"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FF78F496-E23D-4C18-AF10-46F117D0B9F3}" sourceName="Profit">
  <pivotTables>
    <pivotTable tabId="3" name="PivotTable2"/>
    <pivotTable tabId="4" name="PivotTable3"/>
    <pivotTable tabId="5" name="PivotTable4"/>
    <pivotTable tabId="6" name="PivotTable5"/>
    <pivotTable tabId="2" name="PivotTable1"/>
  </pivotTables>
  <data>
    <tabular pivotCacheId="1842487224">
      <items count="28">
        <i x="10" s="1"/>
        <i x="17" s="1"/>
        <i x="20" s="1"/>
        <i x="13" s="1"/>
        <i x="8" s="1"/>
        <i x="26" s="1"/>
        <i x="12" s="1"/>
        <i x="22" s="1"/>
        <i x="18" s="1"/>
        <i x="23" s="1"/>
        <i x="15" s="1"/>
        <i x="25" s="1"/>
        <i x="24" s="1"/>
        <i x="3" s="1"/>
        <i x="2" s="1"/>
        <i x="5" s="1"/>
        <i x="11" s="1"/>
        <i x="21" s="1"/>
        <i x="16" s="1"/>
        <i x="1" s="1"/>
        <i x="0" s="1"/>
        <i x="19" s="1"/>
        <i x="6" s="1"/>
        <i x="14" s="1"/>
        <i x="27" s="1"/>
        <i x="4" s="1"/>
        <i x="9"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9B79B27D-D7C8-41C3-A717-737BF6573F21}" cache="Slicer_Product_Name" caption="Product Name" style="SlicerStyleDark1" rowHeight="241300"/>
  <slicer name="Month" xr10:uid="{EB37587B-EFC7-47D4-B448-653DC77AD0D0}" cache="Slicer_Month" caption="Month" style="SlicerStyleDark1" rowHeight="241300"/>
  <slicer name="Region" xr10:uid="{880BE63A-A2CC-4696-AC4D-2B600D5E57C7}" cache="Slicer_Region" caption="Region" style="SlicerStyleDark1" rowHeight="241300"/>
  <slicer name="Sales Value" xr10:uid="{DAD64AF6-9AA2-4918-98C5-FDF78D2491D5}" cache="Slicer_Sales_Value" caption="Sales Value" style="SlicerStyleDark1" rowHeight="241300"/>
  <slicer name="Profit" xr10:uid="{CF57F024-E98D-4511-8BD0-7335CCA7D5DE}" cache="Slicer_Profit" caption="Profit"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lt1"/>
        </a:solidFill>
        <a:ln w="9525" cmpd="sng">
          <a:solidFill>
            <a:schemeClr val="lt1">
              <a:shade val="50000"/>
            </a:schemeClr>
          </a:solidFill>
        </a:ln>
      </a:spPr>
      <a:bodyPr vertOverflow="clip" horzOverflow="clip" wrap="square" rtlCol="0" anchor="t"/>
      <a:lstStyle>
        <a:defPPr algn="l">
          <a:defRPr sz="1100"/>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859CC-680B-4C37-9896-17C8E4627055}">
  <dimension ref="A1:N31"/>
  <sheetViews>
    <sheetView workbookViewId="0">
      <selection activeCell="C14" sqref="C14"/>
    </sheetView>
  </sheetViews>
  <sheetFormatPr defaultRowHeight="12.75" x14ac:dyDescent="0.2"/>
  <cols>
    <col min="1" max="1" width="17.42578125" style="7" customWidth="1"/>
    <col min="2" max="2" width="13.42578125" style="3" bestFit="1" customWidth="1"/>
    <col min="3" max="3" width="14" style="3" bestFit="1" customWidth="1"/>
    <col min="4" max="4" width="11.140625" style="7" customWidth="1"/>
    <col min="5" max="5" width="11.140625" style="7" bestFit="1" customWidth="1"/>
    <col min="6" max="6" width="6.5703125" style="3" bestFit="1" customWidth="1"/>
    <col min="7" max="7" width="7.5703125" style="3" bestFit="1" customWidth="1"/>
    <col min="8" max="8" width="16.85546875" style="3" bestFit="1" customWidth="1"/>
    <col min="9" max="9" width="10.85546875" style="3" bestFit="1" customWidth="1"/>
    <col min="10" max="10" width="9.5703125" style="3" customWidth="1"/>
    <col min="11" max="11" width="10.140625" style="7" bestFit="1" customWidth="1"/>
    <col min="12" max="12" width="15.5703125" style="7" customWidth="1"/>
    <col min="13" max="13" width="12.28515625" style="7" bestFit="1" customWidth="1"/>
    <col min="14" max="14" width="12" style="7" customWidth="1"/>
    <col min="15" max="257" width="9.140625" style="3"/>
    <col min="258" max="258" width="13.42578125" style="3" bestFit="1" customWidth="1"/>
    <col min="259" max="259" width="14" style="3" bestFit="1" customWidth="1"/>
    <col min="260" max="260" width="9.85546875" style="3" bestFit="1" customWidth="1"/>
    <col min="261" max="261" width="11.140625" style="3" bestFit="1" customWidth="1"/>
    <col min="262" max="262" width="6.5703125" style="3" bestFit="1" customWidth="1"/>
    <col min="263" max="263" width="7.5703125" style="3" bestFit="1" customWidth="1"/>
    <col min="264" max="264" width="16.85546875" style="3" bestFit="1" customWidth="1"/>
    <col min="265" max="265" width="10.85546875" style="3" bestFit="1" customWidth="1"/>
    <col min="266" max="266" width="6.28515625" style="3" bestFit="1" customWidth="1"/>
    <col min="267" max="267" width="10.140625" style="3" bestFit="1" customWidth="1"/>
    <col min="268" max="268" width="11.7109375" style="3" bestFit="1" customWidth="1"/>
    <col min="269" max="269" width="12" style="3" bestFit="1" customWidth="1"/>
    <col min="270" max="270" width="7.85546875" style="3" bestFit="1" customWidth="1"/>
    <col min="271" max="513" width="9.140625" style="3"/>
    <col min="514" max="514" width="13.42578125" style="3" bestFit="1" customWidth="1"/>
    <col min="515" max="515" width="14" style="3" bestFit="1" customWidth="1"/>
    <col min="516" max="516" width="9.85546875" style="3" bestFit="1" customWidth="1"/>
    <col min="517" max="517" width="11.140625" style="3" bestFit="1" customWidth="1"/>
    <col min="518" max="518" width="6.5703125" style="3" bestFit="1" customWidth="1"/>
    <col min="519" max="519" width="7.5703125" style="3" bestFit="1" customWidth="1"/>
    <col min="520" max="520" width="16.85546875" style="3" bestFit="1" customWidth="1"/>
    <col min="521" max="521" width="10.85546875" style="3" bestFit="1" customWidth="1"/>
    <col min="522" max="522" width="6.28515625" style="3" bestFit="1" customWidth="1"/>
    <col min="523" max="523" width="10.140625" style="3" bestFit="1" customWidth="1"/>
    <col min="524" max="524" width="11.7109375" style="3" bestFit="1" customWidth="1"/>
    <col min="525" max="525" width="12" style="3" bestFit="1" customWidth="1"/>
    <col min="526" max="526" width="7.85546875" style="3" bestFit="1" customWidth="1"/>
    <col min="527" max="769" width="9.140625" style="3"/>
    <col min="770" max="770" width="13.42578125" style="3" bestFit="1" customWidth="1"/>
    <col min="771" max="771" width="14" style="3" bestFit="1" customWidth="1"/>
    <col min="772" max="772" width="9.85546875" style="3" bestFit="1" customWidth="1"/>
    <col min="773" max="773" width="11.140625" style="3" bestFit="1" customWidth="1"/>
    <col min="774" max="774" width="6.5703125" style="3" bestFit="1" customWidth="1"/>
    <col min="775" max="775" width="7.5703125" style="3" bestFit="1" customWidth="1"/>
    <col min="776" max="776" width="16.85546875" style="3" bestFit="1" customWidth="1"/>
    <col min="777" max="777" width="10.85546875" style="3" bestFit="1" customWidth="1"/>
    <col min="778" max="778" width="6.28515625" style="3" bestFit="1" customWidth="1"/>
    <col min="779" max="779" width="10.140625" style="3" bestFit="1" customWidth="1"/>
    <col min="780" max="780" width="11.7109375" style="3" bestFit="1" customWidth="1"/>
    <col min="781" max="781" width="12" style="3" bestFit="1" customWidth="1"/>
    <col min="782" max="782" width="7.85546875" style="3" bestFit="1" customWidth="1"/>
    <col min="783" max="1025" width="9.140625" style="3"/>
    <col min="1026" max="1026" width="13.42578125" style="3" bestFit="1" customWidth="1"/>
    <col min="1027" max="1027" width="14" style="3" bestFit="1" customWidth="1"/>
    <col min="1028" max="1028" width="9.85546875" style="3" bestFit="1" customWidth="1"/>
    <col min="1029" max="1029" width="11.140625" style="3" bestFit="1" customWidth="1"/>
    <col min="1030" max="1030" width="6.5703125" style="3" bestFit="1" customWidth="1"/>
    <col min="1031" max="1031" width="7.5703125" style="3" bestFit="1" customWidth="1"/>
    <col min="1032" max="1032" width="16.85546875" style="3" bestFit="1" customWidth="1"/>
    <col min="1033" max="1033" width="10.85546875" style="3" bestFit="1" customWidth="1"/>
    <col min="1034" max="1034" width="6.28515625" style="3" bestFit="1" customWidth="1"/>
    <col min="1035" max="1035" width="10.140625" style="3" bestFit="1" customWidth="1"/>
    <col min="1036" max="1036" width="11.7109375" style="3" bestFit="1" customWidth="1"/>
    <col min="1037" max="1037" width="12" style="3" bestFit="1" customWidth="1"/>
    <col min="1038" max="1038" width="7.85546875" style="3" bestFit="1" customWidth="1"/>
    <col min="1039" max="1281" width="9.140625" style="3"/>
    <col min="1282" max="1282" width="13.42578125" style="3" bestFit="1" customWidth="1"/>
    <col min="1283" max="1283" width="14" style="3" bestFit="1" customWidth="1"/>
    <col min="1284" max="1284" width="9.85546875" style="3" bestFit="1" customWidth="1"/>
    <col min="1285" max="1285" width="11.140625" style="3" bestFit="1" customWidth="1"/>
    <col min="1286" max="1286" width="6.5703125" style="3" bestFit="1" customWidth="1"/>
    <col min="1287" max="1287" width="7.5703125" style="3" bestFit="1" customWidth="1"/>
    <col min="1288" max="1288" width="16.85546875" style="3" bestFit="1" customWidth="1"/>
    <col min="1289" max="1289" width="10.85546875" style="3" bestFit="1" customWidth="1"/>
    <col min="1290" max="1290" width="6.28515625" style="3" bestFit="1" customWidth="1"/>
    <col min="1291" max="1291" width="10.140625" style="3" bestFit="1" customWidth="1"/>
    <col min="1292" max="1292" width="11.7109375" style="3" bestFit="1" customWidth="1"/>
    <col min="1293" max="1293" width="12" style="3" bestFit="1" customWidth="1"/>
    <col min="1294" max="1294" width="7.85546875" style="3" bestFit="1" customWidth="1"/>
    <col min="1295" max="1537" width="9.140625" style="3"/>
    <col min="1538" max="1538" width="13.42578125" style="3" bestFit="1" customWidth="1"/>
    <col min="1539" max="1539" width="14" style="3" bestFit="1" customWidth="1"/>
    <col min="1540" max="1540" width="9.85546875" style="3" bestFit="1" customWidth="1"/>
    <col min="1541" max="1541" width="11.140625" style="3" bestFit="1" customWidth="1"/>
    <col min="1542" max="1542" width="6.5703125" style="3" bestFit="1" customWidth="1"/>
    <col min="1543" max="1543" width="7.5703125" style="3" bestFit="1" customWidth="1"/>
    <col min="1544" max="1544" width="16.85546875" style="3" bestFit="1" customWidth="1"/>
    <col min="1545" max="1545" width="10.85546875" style="3" bestFit="1" customWidth="1"/>
    <col min="1546" max="1546" width="6.28515625" style="3" bestFit="1" customWidth="1"/>
    <col min="1547" max="1547" width="10.140625" style="3" bestFit="1" customWidth="1"/>
    <col min="1548" max="1548" width="11.7109375" style="3" bestFit="1" customWidth="1"/>
    <col min="1549" max="1549" width="12" style="3" bestFit="1" customWidth="1"/>
    <col min="1550" max="1550" width="7.85546875" style="3" bestFit="1" customWidth="1"/>
    <col min="1551" max="1793" width="9.140625" style="3"/>
    <col min="1794" max="1794" width="13.42578125" style="3" bestFit="1" customWidth="1"/>
    <col min="1795" max="1795" width="14" style="3" bestFit="1" customWidth="1"/>
    <col min="1796" max="1796" width="9.85546875" style="3" bestFit="1" customWidth="1"/>
    <col min="1797" max="1797" width="11.140625" style="3" bestFit="1" customWidth="1"/>
    <col min="1798" max="1798" width="6.5703125" style="3" bestFit="1" customWidth="1"/>
    <col min="1799" max="1799" width="7.5703125" style="3" bestFit="1" customWidth="1"/>
    <col min="1800" max="1800" width="16.85546875" style="3" bestFit="1" customWidth="1"/>
    <col min="1801" max="1801" width="10.85546875" style="3" bestFit="1" customWidth="1"/>
    <col min="1802" max="1802" width="6.28515625" style="3" bestFit="1" customWidth="1"/>
    <col min="1803" max="1803" width="10.140625" style="3" bestFit="1" customWidth="1"/>
    <col min="1804" max="1804" width="11.7109375" style="3" bestFit="1" customWidth="1"/>
    <col min="1805" max="1805" width="12" style="3" bestFit="1" customWidth="1"/>
    <col min="1806" max="1806" width="7.85546875" style="3" bestFit="1" customWidth="1"/>
    <col min="1807" max="2049" width="9.140625" style="3"/>
    <col min="2050" max="2050" width="13.42578125" style="3" bestFit="1" customWidth="1"/>
    <col min="2051" max="2051" width="14" style="3" bestFit="1" customWidth="1"/>
    <col min="2052" max="2052" width="9.85546875" style="3" bestFit="1" customWidth="1"/>
    <col min="2053" max="2053" width="11.140625" style="3" bestFit="1" customWidth="1"/>
    <col min="2054" max="2054" width="6.5703125" style="3" bestFit="1" customWidth="1"/>
    <col min="2055" max="2055" width="7.5703125" style="3" bestFit="1" customWidth="1"/>
    <col min="2056" max="2056" width="16.85546875" style="3" bestFit="1" customWidth="1"/>
    <col min="2057" max="2057" width="10.85546875" style="3" bestFit="1" customWidth="1"/>
    <col min="2058" max="2058" width="6.28515625" style="3" bestFit="1" customWidth="1"/>
    <col min="2059" max="2059" width="10.140625" style="3" bestFit="1" customWidth="1"/>
    <col min="2060" max="2060" width="11.7109375" style="3" bestFit="1" customWidth="1"/>
    <col min="2061" max="2061" width="12" style="3" bestFit="1" customWidth="1"/>
    <col min="2062" max="2062" width="7.85546875" style="3" bestFit="1" customWidth="1"/>
    <col min="2063" max="2305" width="9.140625" style="3"/>
    <col min="2306" max="2306" width="13.42578125" style="3" bestFit="1" customWidth="1"/>
    <col min="2307" max="2307" width="14" style="3" bestFit="1" customWidth="1"/>
    <col min="2308" max="2308" width="9.85546875" style="3" bestFit="1" customWidth="1"/>
    <col min="2309" max="2309" width="11.140625" style="3" bestFit="1" customWidth="1"/>
    <col min="2310" max="2310" width="6.5703125" style="3" bestFit="1" customWidth="1"/>
    <col min="2311" max="2311" width="7.5703125" style="3" bestFit="1" customWidth="1"/>
    <col min="2312" max="2312" width="16.85546875" style="3" bestFit="1" customWidth="1"/>
    <col min="2313" max="2313" width="10.85546875" style="3" bestFit="1" customWidth="1"/>
    <col min="2314" max="2314" width="6.28515625" style="3" bestFit="1" customWidth="1"/>
    <col min="2315" max="2315" width="10.140625" style="3" bestFit="1" customWidth="1"/>
    <col min="2316" max="2316" width="11.7109375" style="3" bestFit="1" customWidth="1"/>
    <col min="2317" max="2317" width="12" style="3" bestFit="1" customWidth="1"/>
    <col min="2318" max="2318" width="7.85546875" style="3" bestFit="1" customWidth="1"/>
    <col min="2319" max="2561" width="9.140625" style="3"/>
    <col min="2562" max="2562" width="13.42578125" style="3" bestFit="1" customWidth="1"/>
    <col min="2563" max="2563" width="14" style="3" bestFit="1" customWidth="1"/>
    <col min="2564" max="2564" width="9.85546875" style="3" bestFit="1" customWidth="1"/>
    <col min="2565" max="2565" width="11.140625" style="3" bestFit="1" customWidth="1"/>
    <col min="2566" max="2566" width="6.5703125" style="3" bestFit="1" customWidth="1"/>
    <col min="2567" max="2567" width="7.5703125" style="3" bestFit="1" customWidth="1"/>
    <col min="2568" max="2568" width="16.85546875" style="3" bestFit="1" customWidth="1"/>
    <col min="2569" max="2569" width="10.85546875" style="3" bestFit="1" customWidth="1"/>
    <col min="2570" max="2570" width="6.28515625" style="3" bestFit="1" customWidth="1"/>
    <col min="2571" max="2571" width="10.140625" style="3" bestFit="1" customWidth="1"/>
    <col min="2572" max="2572" width="11.7109375" style="3" bestFit="1" customWidth="1"/>
    <col min="2573" max="2573" width="12" style="3" bestFit="1" customWidth="1"/>
    <col min="2574" max="2574" width="7.85546875" style="3" bestFit="1" customWidth="1"/>
    <col min="2575" max="2817" width="9.140625" style="3"/>
    <col min="2818" max="2818" width="13.42578125" style="3" bestFit="1" customWidth="1"/>
    <col min="2819" max="2819" width="14" style="3" bestFit="1" customWidth="1"/>
    <col min="2820" max="2820" width="9.85546875" style="3" bestFit="1" customWidth="1"/>
    <col min="2821" max="2821" width="11.140625" style="3" bestFit="1" customWidth="1"/>
    <col min="2822" max="2822" width="6.5703125" style="3" bestFit="1" customWidth="1"/>
    <col min="2823" max="2823" width="7.5703125" style="3" bestFit="1" customWidth="1"/>
    <col min="2824" max="2824" width="16.85546875" style="3" bestFit="1" customWidth="1"/>
    <col min="2825" max="2825" width="10.85546875" style="3" bestFit="1" customWidth="1"/>
    <col min="2826" max="2826" width="6.28515625" style="3" bestFit="1" customWidth="1"/>
    <col min="2827" max="2827" width="10.140625" style="3" bestFit="1" customWidth="1"/>
    <col min="2828" max="2828" width="11.7109375" style="3" bestFit="1" customWidth="1"/>
    <col min="2829" max="2829" width="12" style="3" bestFit="1" customWidth="1"/>
    <col min="2830" max="2830" width="7.85546875" style="3" bestFit="1" customWidth="1"/>
    <col min="2831" max="3073" width="9.140625" style="3"/>
    <col min="3074" max="3074" width="13.42578125" style="3" bestFit="1" customWidth="1"/>
    <col min="3075" max="3075" width="14" style="3" bestFit="1" customWidth="1"/>
    <col min="3076" max="3076" width="9.85546875" style="3" bestFit="1" customWidth="1"/>
    <col min="3077" max="3077" width="11.140625" style="3" bestFit="1" customWidth="1"/>
    <col min="3078" max="3078" width="6.5703125" style="3" bestFit="1" customWidth="1"/>
    <col min="3079" max="3079" width="7.5703125" style="3" bestFit="1" customWidth="1"/>
    <col min="3080" max="3080" width="16.85546875" style="3" bestFit="1" customWidth="1"/>
    <col min="3081" max="3081" width="10.85546875" style="3" bestFit="1" customWidth="1"/>
    <col min="3082" max="3082" width="6.28515625" style="3" bestFit="1" customWidth="1"/>
    <col min="3083" max="3083" width="10.140625" style="3" bestFit="1" customWidth="1"/>
    <col min="3084" max="3084" width="11.7109375" style="3" bestFit="1" customWidth="1"/>
    <col min="3085" max="3085" width="12" style="3" bestFit="1" customWidth="1"/>
    <col min="3086" max="3086" width="7.85546875" style="3" bestFit="1" customWidth="1"/>
    <col min="3087" max="3329" width="9.140625" style="3"/>
    <col min="3330" max="3330" width="13.42578125" style="3" bestFit="1" customWidth="1"/>
    <col min="3331" max="3331" width="14" style="3" bestFit="1" customWidth="1"/>
    <col min="3332" max="3332" width="9.85546875" style="3" bestFit="1" customWidth="1"/>
    <col min="3333" max="3333" width="11.140625" style="3" bestFit="1" customWidth="1"/>
    <col min="3334" max="3334" width="6.5703125" style="3" bestFit="1" customWidth="1"/>
    <col min="3335" max="3335" width="7.5703125" style="3" bestFit="1" customWidth="1"/>
    <col min="3336" max="3336" width="16.85546875" style="3" bestFit="1" customWidth="1"/>
    <col min="3337" max="3337" width="10.85546875" style="3" bestFit="1" customWidth="1"/>
    <col min="3338" max="3338" width="6.28515625" style="3" bestFit="1" customWidth="1"/>
    <col min="3339" max="3339" width="10.140625" style="3" bestFit="1" customWidth="1"/>
    <col min="3340" max="3340" width="11.7109375" style="3" bestFit="1" customWidth="1"/>
    <col min="3341" max="3341" width="12" style="3" bestFit="1" customWidth="1"/>
    <col min="3342" max="3342" width="7.85546875" style="3" bestFit="1" customWidth="1"/>
    <col min="3343" max="3585" width="9.140625" style="3"/>
    <col min="3586" max="3586" width="13.42578125" style="3" bestFit="1" customWidth="1"/>
    <col min="3587" max="3587" width="14" style="3" bestFit="1" customWidth="1"/>
    <col min="3588" max="3588" width="9.85546875" style="3" bestFit="1" customWidth="1"/>
    <col min="3589" max="3589" width="11.140625" style="3" bestFit="1" customWidth="1"/>
    <col min="3590" max="3590" width="6.5703125" style="3" bestFit="1" customWidth="1"/>
    <col min="3591" max="3591" width="7.5703125" style="3" bestFit="1" customWidth="1"/>
    <col min="3592" max="3592" width="16.85546875" style="3" bestFit="1" customWidth="1"/>
    <col min="3593" max="3593" width="10.85546875" style="3" bestFit="1" customWidth="1"/>
    <col min="3594" max="3594" width="6.28515625" style="3" bestFit="1" customWidth="1"/>
    <col min="3595" max="3595" width="10.140625" style="3" bestFit="1" customWidth="1"/>
    <col min="3596" max="3596" width="11.7109375" style="3" bestFit="1" customWidth="1"/>
    <col min="3597" max="3597" width="12" style="3" bestFit="1" customWidth="1"/>
    <col min="3598" max="3598" width="7.85546875" style="3" bestFit="1" customWidth="1"/>
    <col min="3599" max="3841" width="9.140625" style="3"/>
    <col min="3842" max="3842" width="13.42578125" style="3" bestFit="1" customWidth="1"/>
    <col min="3843" max="3843" width="14" style="3" bestFit="1" customWidth="1"/>
    <col min="3844" max="3844" width="9.85546875" style="3" bestFit="1" customWidth="1"/>
    <col min="3845" max="3845" width="11.140625" style="3" bestFit="1" customWidth="1"/>
    <col min="3846" max="3846" width="6.5703125" style="3" bestFit="1" customWidth="1"/>
    <col min="3847" max="3847" width="7.5703125" style="3" bestFit="1" customWidth="1"/>
    <col min="3848" max="3848" width="16.85546875" style="3" bestFit="1" customWidth="1"/>
    <col min="3849" max="3849" width="10.85546875" style="3" bestFit="1" customWidth="1"/>
    <col min="3850" max="3850" width="6.28515625" style="3" bestFit="1" customWidth="1"/>
    <col min="3851" max="3851" width="10.140625" style="3" bestFit="1" customWidth="1"/>
    <col min="3852" max="3852" width="11.7109375" style="3" bestFit="1" customWidth="1"/>
    <col min="3853" max="3853" width="12" style="3" bestFit="1" customWidth="1"/>
    <col min="3854" max="3854" width="7.85546875" style="3" bestFit="1" customWidth="1"/>
    <col min="3855" max="4097" width="9.140625" style="3"/>
    <col min="4098" max="4098" width="13.42578125" style="3" bestFit="1" customWidth="1"/>
    <col min="4099" max="4099" width="14" style="3" bestFit="1" customWidth="1"/>
    <col min="4100" max="4100" width="9.85546875" style="3" bestFit="1" customWidth="1"/>
    <col min="4101" max="4101" width="11.140625" style="3" bestFit="1" customWidth="1"/>
    <col min="4102" max="4102" width="6.5703125" style="3" bestFit="1" customWidth="1"/>
    <col min="4103" max="4103" width="7.5703125" style="3" bestFit="1" customWidth="1"/>
    <col min="4104" max="4104" width="16.85546875" style="3" bestFit="1" customWidth="1"/>
    <col min="4105" max="4105" width="10.85546875" style="3" bestFit="1" customWidth="1"/>
    <col min="4106" max="4106" width="6.28515625" style="3" bestFit="1" customWidth="1"/>
    <col min="4107" max="4107" width="10.140625" style="3" bestFit="1" customWidth="1"/>
    <col min="4108" max="4108" width="11.7109375" style="3" bestFit="1" customWidth="1"/>
    <col min="4109" max="4109" width="12" style="3" bestFit="1" customWidth="1"/>
    <col min="4110" max="4110" width="7.85546875" style="3" bestFit="1" customWidth="1"/>
    <col min="4111" max="4353" width="9.140625" style="3"/>
    <col min="4354" max="4354" width="13.42578125" style="3" bestFit="1" customWidth="1"/>
    <col min="4355" max="4355" width="14" style="3" bestFit="1" customWidth="1"/>
    <col min="4356" max="4356" width="9.85546875" style="3" bestFit="1" customWidth="1"/>
    <col min="4357" max="4357" width="11.140625" style="3" bestFit="1" customWidth="1"/>
    <col min="4358" max="4358" width="6.5703125" style="3" bestFit="1" customWidth="1"/>
    <col min="4359" max="4359" width="7.5703125" style="3" bestFit="1" customWidth="1"/>
    <col min="4360" max="4360" width="16.85546875" style="3" bestFit="1" customWidth="1"/>
    <col min="4361" max="4361" width="10.85546875" style="3" bestFit="1" customWidth="1"/>
    <col min="4362" max="4362" width="6.28515625" style="3" bestFit="1" customWidth="1"/>
    <col min="4363" max="4363" width="10.140625" style="3" bestFit="1" customWidth="1"/>
    <col min="4364" max="4364" width="11.7109375" style="3" bestFit="1" customWidth="1"/>
    <col min="4365" max="4365" width="12" style="3" bestFit="1" customWidth="1"/>
    <col min="4366" max="4366" width="7.85546875" style="3" bestFit="1" customWidth="1"/>
    <col min="4367" max="4609" width="9.140625" style="3"/>
    <col min="4610" max="4610" width="13.42578125" style="3" bestFit="1" customWidth="1"/>
    <col min="4611" max="4611" width="14" style="3" bestFit="1" customWidth="1"/>
    <col min="4612" max="4612" width="9.85546875" style="3" bestFit="1" customWidth="1"/>
    <col min="4613" max="4613" width="11.140625" style="3" bestFit="1" customWidth="1"/>
    <col min="4614" max="4614" width="6.5703125" style="3" bestFit="1" customWidth="1"/>
    <col min="4615" max="4615" width="7.5703125" style="3" bestFit="1" customWidth="1"/>
    <col min="4616" max="4616" width="16.85546875" style="3" bestFit="1" customWidth="1"/>
    <col min="4617" max="4617" width="10.85546875" style="3" bestFit="1" customWidth="1"/>
    <col min="4618" max="4618" width="6.28515625" style="3" bestFit="1" customWidth="1"/>
    <col min="4619" max="4619" width="10.140625" style="3" bestFit="1" customWidth="1"/>
    <col min="4620" max="4620" width="11.7109375" style="3" bestFit="1" customWidth="1"/>
    <col min="4621" max="4621" width="12" style="3" bestFit="1" customWidth="1"/>
    <col min="4622" max="4622" width="7.85546875" style="3" bestFit="1" customWidth="1"/>
    <col min="4623" max="4865" width="9.140625" style="3"/>
    <col min="4866" max="4866" width="13.42578125" style="3" bestFit="1" customWidth="1"/>
    <col min="4867" max="4867" width="14" style="3" bestFit="1" customWidth="1"/>
    <col min="4868" max="4868" width="9.85546875" style="3" bestFit="1" customWidth="1"/>
    <col min="4869" max="4869" width="11.140625" style="3" bestFit="1" customWidth="1"/>
    <col min="4870" max="4870" width="6.5703125" style="3" bestFit="1" customWidth="1"/>
    <col min="4871" max="4871" width="7.5703125" style="3" bestFit="1" customWidth="1"/>
    <col min="4872" max="4872" width="16.85546875" style="3" bestFit="1" customWidth="1"/>
    <col min="4873" max="4873" width="10.85546875" style="3" bestFit="1" customWidth="1"/>
    <col min="4874" max="4874" width="6.28515625" style="3" bestFit="1" customWidth="1"/>
    <col min="4875" max="4875" width="10.140625" style="3" bestFit="1" customWidth="1"/>
    <col min="4876" max="4876" width="11.7109375" style="3" bestFit="1" customWidth="1"/>
    <col min="4877" max="4877" width="12" style="3" bestFit="1" customWidth="1"/>
    <col min="4878" max="4878" width="7.85546875" style="3" bestFit="1" customWidth="1"/>
    <col min="4879" max="5121" width="9.140625" style="3"/>
    <col min="5122" max="5122" width="13.42578125" style="3" bestFit="1" customWidth="1"/>
    <col min="5123" max="5123" width="14" style="3" bestFit="1" customWidth="1"/>
    <col min="5124" max="5124" width="9.85546875" style="3" bestFit="1" customWidth="1"/>
    <col min="5125" max="5125" width="11.140625" style="3" bestFit="1" customWidth="1"/>
    <col min="5126" max="5126" width="6.5703125" style="3" bestFit="1" customWidth="1"/>
    <col min="5127" max="5127" width="7.5703125" style="3" bestFit="1" customWidth="1"/>
    <col min="5128" max="5128" width="16.85546875" style="3" bestFit="1" customWidth="1"/>
    <col min="5129" max="5129" width="10.85546875" style="3" bestFit="1" customWidth="1"/>
    <col min="5130" max="5130" width="6.28515625" style="3" bestFit="1" customWidth="1"/>
    <col min="5131" max="5131" width="10.140625" style="3" bestFit="1" customWidth="1"/>
    <col min="5132" max="5132" width="11.7109375" style="3" bestFit="1" customWidth="1"/>
    <col min="5133" max="5133" width="12" style="3" bestFit="1" customWidth="1"/>
    <col min="5134" max="5134" width="7.85546875" style="3" bestFit="1" customWidth="1"/>
    <col min="5135" max="5377" width="9.140625" style="3"/>
    <col min="5378" max="5378" width="13.42578125" style="3" bestFit="1" customWidth="1"/>
    <col min="5379" max="5379" width="14" style="3" bestFit="1" customWidth="1"/>
    <col min="5380" max="5380" width="9.85546875" style="3" bestFit="1" customWidth="1"/>
    <col min="5381" max="5381" width="11.140625" style="3" bestFit="1" customWidth="1"/>
    <col min="5382" max="5382" width="6.5703125" style="3" bestFit="1" customWidth="1"/>
    <col min="5383" max="5383" width="7.5703125" style="3" bestFit="1" customWidth="1"/>
    <col min="5384" max="5384" width="16.85546875" style="3" bestFit="1" customWidth="1"/>
    <col min="5385" max="5385" width="10.85546875" style="3" bestFit="1" customWidth="1"/>
    <col min="5386" max="5386" width="6.28515625" style="3" bestFit="1" customWidth="1"/>
    <col min="5387" max="5387" width="10.140625" style="3" bestFit="1" customWidth="1"/>
    <col min="5388" max="5388" width="11.7109375" style="3" bestFit="1" customWidth="1"/>
    <col min="5389" max="5389" width="12" style="3" bestFit="1" customWidth="1"/>
    <col min="5390" max="5390" width="7.85546875" style="3" bestFit="1" customWidth="1"/>
    <col min="5391" max="5633" width="9.140625" style="3"/>
    <col min="5634" max="5634" width="13.42578125" style="3" bestFit="1" customWidth="1"/>
    <col min="5635" max="5635" width="14" style="3" bestFit="1" customWidth="1"/>
    <col min="5636" max="5636" width="9.85546875" style="3" bestFit="1" customWidth="1"/>
    <col min="5637" max="5637" width="11.140625" style="3" bestFit="1" customWidth="1"/>
    <col min="5638" max="5638" width="6.5703125" style="3" bestFit="1" customWidth="1"/>
    <col min="5639" max="5639" width="7.5703125" style="3" bestFit="1" customWidth="1"/>
    <col min="5640" max="5640" width="16.85546875" style="3" bestFit="1" customWidth="1"/>
    <col min="5641" max="5641" width="10.85546875" style="3" bestFit="1" customWidth="1"/>
    <col min="5642" max="5642" width="6.28515625" style="3" bestFit="1" customWidth="1"/>
    <col min="5643" max="5643" width="10.140625" style="3" bestFit="1" customWidth="1"/>
    <col min="5644" max="5644" width="11.7109375" style="3" bestFit="1" customWidth="1"/>
    <col min="5645" max="5645" width="12" style="3" bestFit="1" customWidth="1"/>
    <col min="5646" max="5646" width="7.85546875" style="3" bestFit="1" customWidth="1"/>
    <col min="5647" max="5889" width="9.140625" style="3"/>
    <col min="5890" max="5890" width="13.42578125" style="3" bestFit="1" customWidth="1"/>
    <col min="5891" max="5891" width="14" style="3" bestFit="1" customWidth="1"/>
    <col min="5892" max="5892" width="9.85546875" style="3" bestFit="1" customWidth="1"/>
    <col min="5893" max="5893" width="11.140625" style="3" bestFit="1" customWidth="1"/>
    <col min="5894" max="5894" width="6.5703125" style="3" bestFit="1" customWidth="1"/>
    <col min="5895" max="5895" width="7.5703125" style="3" bestFit="1" customWidth="1"/>
    <col min="5896" max="5896" width="16.85546875" style="3" bestFit="1" customWidth="1"/>
    <col min="5897" max="5897" width="10.85546875" style="3" bestFit="1" customWidth="1"/>
    <col min="5898" max="5898" width="6.28515625" style="3" bestFit="1" customWidth="1"/>
    <col min="5899" max="5899" width="10.140625" style="3" bestFit="1" customWidth="1"/>
    <col min="5900" max="5900" width="11.7109375" style="3" bestFit="1" customWidth="1"/>
    <col min="5901" max="5901" width="12" style="3" bestFit="1" customWidth="1"/>
    <col min="5902" max="5902" width="7.85546875" style="3" bestFit="1" customWidth="1"/>
    <col min="5903" max="6145" width="9.140625" style="3"/>
    <col min="6146" max="6146" width="13.42578125" style="3" bestFit="1" customWidth="1"/>
    <col min="6147" max="6147" width="14" style="3" bestFit="1" customWidth="1"/>
    <col min="6148" max="6148" width="9.85546875" style="3" bestFit="1" customWidth="1"/>
    <col min="6149" max="6149" width="11.140625" style="3" bestFit="1" customWidth="1"/>
    <col min="6150" max="6150" width="6.5703125" style="3" bestFit="1" customWidth="1"/>
    <col min="6151" max="6151" width="7.5703125" style="3" bestFit="1" customWidth="1"/>
    <col min="6152" max="6152" width="16.85546875" style="3" bestFit="1" customWidth="1"/>
    <col min="6153" max="6153" width="10.85546875" style="3" bestFit="1" customWidth="1"/>
    <col min="6154" max="6154" width="6.28515625" style="3" bestFit="1" customWidth="1"/>
    <col min="6155" max="6155" width="10.140625" style="3" bestFit="1" customWidth="1"/>
    <col min="6156" max="6156" width="11.7109375" style="3" bestFit="1" customWidth="1"/>
    <col min="6157" max="6157" width="12" style="3" bestFit="1" customWidth="1"/>
    <col min="6158" max="6158" width="7.85546875" style="3" bestFit="1" customWidth="1"/>
    <col min="6159" max="6401" width="9.140625" style="3"/>
    <col min="6402" max="6402" width="13.42578125" style="3" bestFit="1" customWidth="1"/>
    <col min="6403" max="6403" width="14" style="3" bestFit="1" customWidth="1"/>
    <col min="6404" max="6404" width="9.85546875" style="3" bestFit="1" customWidth="1"/>
    <col min="6405" max="6405" width="11.140625" style="3" bestFit="1" customWidth="1"/>
    <col min="6406" max="6406" width="6.5703125" style="3" bestFit="1" customWidth="1"/>
    <col min="6407" max="6407" width="7.5703125" style="3" bestFit="1" customWidth="1"/>
    <col min="6408" max="6408" width="16.85546875" style="3" bestFit="1" customWidth="1"/>
    <col min="6409" max="6409" width="10.85546875" style="3" bestFit="1" customWidth="1"/>
    <col min="6410" max="6410" width="6.28515625" style="3" bestFit="1" customWidth="1"/>
    <col min="6411" max="6411" width="10.140625" style="3" bestFit="1" customWidth="1"/>
    <col min="6412" max="6412" width="11.7109375" style="3" bestFit="1" customWidth="1"/>
    <col min="6413" max="6413" width="12" style="3" bestFit="1" customWidth="1"/>
    <col min="6414" max="6414" width="7.85546875" style="3" bestFit="1" customWidth="1"/>
    <col min="6415" max="6657" width="9.140625" style="3"/>
    <col min="6658" max="6658" width="13.42578125" style="3" bestFit="1" customWidth="1"/>
    <col min="6659" max="6659" width="14" style="3" bestFit="1" customWidth="1"/>
    <col min="6660" max="6660" width="9.85546875" style="3" bestFit="1" customWidth="1"/>
    <col min="6661" max="6661" width="11.140625" style="3" bestFit="1" customWidth="1"/>
    <col min="6662" max="6662" width="6.5703125" style="3" bestFit="1" customWidth="1"/>
    <col min="6663" max="6663" width="7.5703125" style="3" bestFit="1" customWidth="1"/>
    <col min="6664" max="6664" width="16.85546875" style="3" bestFit="1" customWidth="1"/>
    <col min="6665" max="6665" width="10.85546875" style="3" bestFit="1" customWidth="1"/>
    <col min="6666" max="6666" width="6.28515625" style="3" bestFit="1" customWidth="1"/>
    <col min="6667" max="6667" width="10.140625" style="3" bestFit="1" customWidth="1"/>
    <col min="6668" max="6668" width="11.7109375" style="3" bestFit="1" customWidth="1"/>
    <col min="6669" max="6669" width="12" style="3" bestFit="1" customWidth="1"/>
    <col min="6670" max="6670" width="7.85546875" style="3" bestFit="1" customWidth="1"/>
    <col min="6671" max="6913" width="9.140625" style="3"/>
    <col min="6914" max="6914" width="13.42578125" style="3" bestFit="1" customWidth="1"/>
    <col min="6915" max="6915" width="14" style="3" bestFit="1" customWidth="1"/>
    <col min="6916" max="6916" width="9.85546875" style="3" bestFit="1" customWidth="1"/>
    <col min="6917" max="6917" width="11.140625" style="3" bestFit="1" customWidth="1"/>
    <col min="6918" max="6918" width="6.5703125" style="3" bestFit="1" customWidth="1"/>
    <col min="6919" max="6919" width="7.5703125" style="3" bestFit="1" customWidth="1"/>
    <col min="6920" max="6920" width="16.85546875" style="3" bestFit="1" customWidth="1"/>
    <col min="6921" max="6921" width="10.85546875" style="3" bestFit="1" customWidth="1"/>
    <col min="6922" max="6922" width="6.28515625" style="3" bestFit="1" customWidth="1"/>
    <col min="6923" max="6923" width="10.140625" style="3" bestFit="1" customWidth="1"/>
    <col min="6924" max="6924" width="11.7109375" style="3" bestFit="1" customWidth="1"/>
    <col min="6925" max="6925" width="12" style="3" bestFit="1" customWidth="1"/>
    <col min="6926" max="6926" width="7.85546875" style="3" bestFit="1" customWidth="1"/>
    <col min="6927" max="7169" width="9.140625" style="3"/>
    <col min="7170" max="7170" width="13.42578125" style="3" bestFit="1" customWidth="1"/>
    <col min="7171" max="7171" width="14" style="3" bestFit="1" customWidth="1"/>
    <col min="7172" max="7172" width="9.85546875" style="3" bestFit="1" customWidth="1"/>
    <col min="7173" max="7173" width="11.140625" style="3" bestFit="1" customWidth="1"/>
    <col min="7174" max="7174" width="6.5703125" style="3" bestFit="1" customWidth="1"/>
    <col min="7175" max="7175" width="7.5703125" style="3" bestFit="1" customWidth="1"/>
    <col min="7176" max="7176" width="16.85546875" style="3" bestFit="1" customWidth="1"/>
    <col min="7177" max="7177" width="10.85546875" style="3" bestFit="1" customWidth="1"/>
    <col min="7178" max="7178" width="6.28515625" style="3" bestFit="1" customWidth="1"/>
    <col min="7179" max="7179" width="10.140625" style="3" bestFit="1" customWidth="1"/>
    <col min="7180" max="7180" width="11.7109375" style="3" bestFit="1" customWidth="1"/>
    <col min="7181" max="7181" width="12" style="3" bestFit="1" customWidth="1"/>
    <col min="7182" max="7182" width="7.85546875" style="3" bestFit="1" customWidth="1"/>
    <col min="7183" max="7425" width="9.140625" style="3"/>
    <col min="7426" max="7426" width="13.42578125" style="3" bestFit="1" customWidth="1"/>
    <col min="7427" max="7427" width="14" style="3" bestFit="1" customWidth="1"/>
    <col min="7428" max="7428" width="9.85546875" style="3" bestFit="1" customWidth="1"/>
    <col min="7429" max="7429" width="11.140625" style="3" bestFit="1" customWidth="1"/>
    <col min="7430" max="7430" width="6.5703125" style="3" bestFit="1" customWidth="1"/>
    <col min="7431" max="7431" width="7.5703125" style="3" bestFit="1" customWidth="1"/>
    <col min="7432" max="7432" width="16.85546875" style="3" bestFit="1" customWidth="1"/>
    <col min="7433" max="7433" width="10.85546875" style="3" bestFit="1" customWidth="1"/>
    <col min="7434" max="7434" width="6.28515625" style="3" bestFit="1" customWidth="1"/>
    <col min="7435" max="7435" width="10.140625" style="3" bestFit="1" customWidth="1"/>
    <col min="7436" max="7436" width="11.7109375" style="3" bestFit="1" customWidth="1"/>
    <col min="7437" max="7437" width="12" style="3" bestFit="1" customWidth="1"/>
    <col min="7438" max="7438" width="7.85546875" style="3" bestFit="1" customWidth="1"/>
    <col min="7439" max="7681" width="9.140625" style="3"/>
    <col min="7682" max="7682" width="13.42578125" style="3" bestFit="1" customWidth="1"/>
    <col min="7683" max="7683" width="14" style="3" bestFit="1" customWidth="1"/>
    <col min="7684" max="7684" width="9.85546875" style="3" bestFit="1" customWidth="1"/>
    <col min="7685" max="7685" width="11.140625" style="3" bestFit="1" customWidth="1"/>
    <col min="7686" max="7686" width="6.5703125" style="3" bestFit="1" customWidth="1"/>
    <col min="7687" max="7687" width="7.5703125" style="3" bestFit="1" customWidth="1"/>
    <col min="7688" max="7688" width="16.85546875" style="3" bestFit="1" customWidth="1"/>
    <col min="7689" max="7689" width="10.85546875" style="3" bestFit="1" customWidth="1"/>
    <col min="7690" max="7690" width="6.28515625" style="3" bestFit="1" customWidth="1"/>
    <col min="7691" max="7691" width="10.140625" style="3" bestFit="1" customWidth="1"/>
    <col min="7692" max="7692" width="11.7109375" style="3" bestFit="1" customWidth="1"/>
    <col min="7693" max="7693" width="12" style="3" bestFit="1" customWidth="1"/>
    <col min="7694" max="7694" width="7.85546875" style="3" bestFit="1" customWidth="1"/>
    <col min="7695" max="7937" width="9.140625" style="3"/>
    <col min="7938" max="7938" width="13.42578125" style="3" bestFit="1" customWidth="1"/>
    <col min="7939" max="7939" width="14" style="3" bestFit="1" customWidth="1"/>
    <col min="7940" max="7940" width="9.85546875" style="3" bestFit="1" customWidth="1"/>
    <col min="7941" max="7941" width="11.140625" style="3" bestFit="1" customWidth="1"/>
    <col min="7942" max="7942" width="6.5703125" style="3" bestFit="1" customWidth="1"/>
    <col min="7943" max="7943" width="7.5703125" style="3" bestFit="1" customWidth="1"/>
    <col min="7944" max="7944" width="16.85546875" style="3" bestFit="1" customWidth="1"/>
    <col min="7945" max="7945" width="10.85546875" style="3" bestFit="1" customWidth="1"/>
    <col min="7946" max="7946" width="6.28515625" style="3" bestFit="1" customWidth="1"/>
    <col min="7947" max="7947" width="10.140625" style="3" bestFit="1" customWidth="1"/>
    <col min="7948" max="7948" width="11.7109375" style="3" bestFit="1" customWidth="1"/>
    <col min="7949" max="7949" width="12" style="3" bestFit="1" customWidth="1"/>
    <col min="7950" max="7950" width="7.85546875" style="3" bestFit="1" customWidth="1"/>
    <col min="7951" max="8193" width="9.140625" style="3"/>
    <col min="8194" max="8194" width="13.42578125" style="3" bestFit="1" customWidth="1"/>
    <col min="8195" max="8195" width="14" style="3" bestFit="1" customWidth="1"/>
    <col min="8196" max="8196" width="9.85546875" style="3" bestFit="1" customWidth="1"/>
    <col min="8197" max="8197" width="11.140625" style="3" bestFit="1" customWidth="1"/>
    <col min="8198" max="8198" width="6.5703125" style="3" bestFit="1" customWidth="1"/>
    <col min="8199" max="8199" width="7.5703125" style="3" bestFit="1" customWidth="1"/>
    <col min="8200" max="8200" width="16.85546875" style="3" bestFit="1" customWidth="1"/>
    <col min="8201" max="8201" width="10.85546875" style="3" bestFit="1" customWidth="1"/>
    <col min="8202" max="8202" width="6.28515625" style="3" bestFit="1" customWidth="1"/>
    <col min="8203" max="8203" width="10.140625" style="3" bestFit="1" customWidth="1"/>
    <col min="8204" max="8204" width="11.7109375" style="3" bestFit="1" customWidth="1"/>
    <col min="8205" max="8205" width="12" style="3" bestFit="1" customWidth="1"/>
    <col min="8206" max="8206" width="7.85546875" style="3" bestFit="1" customWidth="1"/>
    <col min="8207" max="8449" width="9.140625" style="3"/>
    <col min="8450" max="8450" width="13.42578125" style="3" bestFit="1" customWidth="1"/>
    <col min="8451" max="8451" width="14" style="3" bestFit="1" customWidth="1"/>
    <col min="8452" max="8452" width="9.85546875" style="3" bestFit="1" customWidth="1"/>
    <col min="8453" max="8453" width="11.140625" style="3" bestFit="1" customWidth="1"/>
    <col min="8454" max="8454" width="6.5703125" style="3" bestFit="1" customWidth="1"/>
    <col min="8455" max="8455" width="7.5703125" style="3" bestFit="1" customWidth="1"/>
    <col min="8456" max="8456" width="16.85546875" style="3" bestFit="1" customWidth="1"/>
    <col min="8457" max="8457" width="10.85546875" style="3" bestFit="1" customWidth="1"/>
    <col min="8458" max="8458" width="6.28515625" style="3" bestFit="1" customWidth="1"/>
    <col min="8459" max="8459" width="10.140625" style="3" bestFit="1" customWidth="1"/>
    <col min="8460" max="8460" width="11.7109375" style="3" bestFit="1" customWidth="1"/>
    <col min="8461" max="8461" width="12" style="3" bestFit="1" customWidth="1"/>
    <col min="8462" max="8462" width="7.85546875" style="3" bestFit="1" customWidth="1"/>
    <col min="8463" max="8705" width="9.140625" style="3"/>
    <col min="8706" max="8706" width="13.42578125" style="3" bestFit="1" customWidth="1"/>
    <col min="8707" max="8707" width="14" style="3" bestFit="1" customWidth="1"/>
    <col min="8708" max="8708" width="9.85546875" style="3" bestFit="1" customWidth="1"/>
    <col min="8709" max="8709" width="11.140625" style="3" bestFit="1" customWidth="1"/>
    <col min="8710" max="8710" width="6.5703125" style="3" bestFit="1" customWidth="1"/>
    <col min="8711" max="8711" width="7.5703125" style="3" bestFit="1" customWidth="1"/>
    <col min="8712" max="8712" width="16.85546875" style="3" bestFit="1" customWidth="1"/>
    <col min="8713" max="8713" width="10.85546875" style="3" bestFit="1" customWidth="1"/>
    <col min="8714" max="8714" width="6.28515625" style="3" bestFit="1" customWidth="1"/>
    <col min="8715" max="8715" width="10.140625" style="3" bestFit="1" customWidth="1"/>
    <col min="8716" max="8716" width="11.7109375" style="3" bestFit="1" customWidth="1"/>
    <col min="8717" max="8717" width="12" style="3" bestFit="1" customWidth="1"/>
    <col min="8718" max="8718" width="7.85546875" style="3" bestFit="1" customWidth="1"/>
    <col min="8719" max="8961" width="9.140625" style="3"/>
    <col min="8962" max="8962" width="13.42578125" style="3" bestFit="1" customWidth="1"/>
    <col min="8963" max="8963" width="14" style="3" bestFit="1" customWidth="1"/>
    <col min="8964" max="8964" width="9.85546875" style="3" bestFit="1" customWidth="1"/>
    <col min="8965" max="8965" width="11.140625" style="3" bestFit="1" customWidth="1"/>
    <col min="8966" max="8966" width="6.5703125" style="3" bestFit="1" customWidth="1"/>
    <col min="8967" max="8967" width="7.5703125" style="3" bestFit="1" customWidth="1"/>
    <col min="8968" max="8968" width="16.85546875" style="3" bestFit="1" customWidth="1"/>
    <col min="8969" max="8969" width="10.85546875" style="3" bestFit="1" customWidth="1"/>
    <col min="8970" max="8970" width="6.28515625" style="3" bestFit="1" customWidth="1"/>
    <col min="8971" max="8971" width="10.140625" style="3" bestFit="1" customWidth="1"/>
    <col min="8972" max="8972" width="11.7109375" style="3" bestFit="1" customWidth="1"/>
    <col min="8973" max="8973" width="12" style="3" bestFit="1" customWidth="1"/>
    <col min="8974" max="8974" width="7.85546875" style="3" bestFit="1" customWidth="1"/>
    <col min="8975" max="9217" width="9.140625" style="3"/>
    <col min="9218" max="9218" width="13.42578125" style="3" bestFit="1" customWidth="1"/>
    <col min="9219" max="9219" width="14" style="3" bestFit="1" customWidth="1"/>
    <col min="9220" max="9220" width="9.85546875" style="3" bestFit="1" customWidth="1"/>
    <col min="9221" max="9221" width="11.140625" style="3" bestFit="1" customWidth="1"/>
    <col min="9222" max="9222" width="6.5703125" style="3" bestFit="1" customWidth="1"/>
    <col min="9223" max="9223" width="7.5703125" style="3" bestFit="1" customWidth="1"/>
    <col min="9224" max="9224" width="16.85546875" style="3" bestFit="1" customWidth="1"/>
    <col min="9225" max="9225" width="10.85546875" style="3" bestFit="1" customWidth="1"/>
    <col min="9226" max="9226" width="6.28515625" style="3" bestFit="1" customWidth="1"/>
    <col min="9227" max="9227" width="10.140625" style="3" bestFit="1" customWidth="1"/>
    <col min="9228" max="9228" width="11.7109375" style="3" bestFit="1" customWidth="1"/>
    <col min="9229" max="9229" width="12" style="3" bestFit="1" customWidth="1"/>
    <col min="9230" max="9230" width="7.85546875" style="3" bestFit="1" customWidth="1"/>
    <col min="9231" max="9473" width="9.140625" style="3"/>
    <col min="9474" max="9474" width="13.42578125" style="3" bestFit="1" customWidth="1"/>
    <col min="9475" max="9475" width="14" style="3" bestFit="1" customWidth="1"/>
    <col min="9476" max="9476" width="9.85546875" style="3" bestFit="1" customWidth="1"/>
    <col min="9477" max="9477" width="11.140625" style="3" bestFit="1" customWidth="1"/>
    <col min="9478" max="9478" width="6.5703125" style="3" bestFit="1" customWidth="1"/>
    <col min="9479" max="9479" width="7.5703125" style="3" bestFit="1" customWidth="1"/>
    <col min="9480" max="9480" width="16.85546875" style="3" bestFit="1" customWidth="1"/>
    <col min="9481" max="9481" width="10.85546875" style="3" bestFit="1" customWidth="1"/>
    <col min="9482" max="9482" width="6.28515625" style="3" bestFit="1" customWidth="1"/>
    <col min="9483" max="9483" width="10.140625" style="3" bestFit="1" customWidth="1"/>
    <col min="9484" max="9484" width="11.7109375" style="3" bestFit="1" customWidth="1"/>
    <col min="9485" max="9485" width="12" style="3" bestFit="1" customWidth="1"/>
    <col min="9486" max="9486" width="7.85546875" style="3" bestFit="1" customWidth="1"/>
    <col min="9487" max="9729" width="9.140625" style="3"/>
    <col min="9730" max="9730" width="13.42578125" style="3" bestFit="1" customWidth="1"/>
    <col min="9731" max="9731" width="14" style="3" bestFit="1" customWidth="1"/>
    <col min="9732" max="9732" width="9.85546875" style="3" bestFit="1" customWidth="1"/>
    <col min="9733" max="9733" width="11.140625" style="3" bestFit="1" customWidth="1"/>
    <col min="9734" max="9734" width="6.5703125" style="3" bestFit="1" customWidth="1"/>
    <col min="9735" max="9735" width="7.5703125" style="3" bestFit="1" customWidth="1"/>
    <col min="9736" max="9736" width="16.85546875" style="3" bestFit="1" customWidth="1"/>
    <col min="9737" max="9737" width="10.85546875" style="3" bestFit="1" customWidth="1"/>
    <col min="9738" max="9738" width="6.28515625" style="3" bestFit="1" customWidth="1"/>
    <col min="9739" max="9739" width="10.140625" style="3" bestFit="1" customWidth="1"/>
    <col min="9740" max="9740" width="11.7109375" style="3" bestFit="1" customWidth="1"/>
    <col min="9741" max="9741" width="12" style="3" bestFit="1" customWidth="1"/>
    <col min="9742" max="9742" width="7.85546875" style="3" bestFit="1" customWidth="1"/>
    <col min="9743" max="9985" width="9.140625" style="3"/>
    <col min="9986" max="9986" width="13.42578125" style="3" bestFit="1" customWidth="1"/>
    <col min="9987" max="9987" width="14" style="3" bestFit="1" customWidth="1"/>
    <col min="9988" max="9988" width="9.85546875" style="3" bestFit="1" customWidth="1"/>
    <col min="9989" max="9989" width="11.140625" style="3" bestFit="1" customWidth="1"/>
    <col min="9990" max="9990" width="6.5703125" style="3" bestFit="1" customWidth="1"/>
    <col min="9991" max="9991" width="7.5703125" style="3" bestFit="1" customWidth="1"/>
    <col min="9992" max="9992" width="16.85546875" style="3" bestFit="1" customWidth="1"/>
    <col min="9993" max="9993" width="10.85546875" style="3" bestFit="1" customWidth="1"/>
    <col min="9994" max="9994" width="6.28515625" style="3" bestFit="1" customWidth="1"/>
    <col min="9995" max="9995" width="10.140625" style="3" bestFit="1" customWidth="1"/>
    <col min="9996" max="9996" width="11.7109375" style="3" bestFit="1" customWidth="1"/>
    <col min="9997" max="9997" width="12" style="3" bestFit="1" customWidth="1"/>
    <col min="9998" max="9998" width="7.85546875" style="3" bestFit="1" customWidth="1"/>
    <col min="9999" max="10241" width="9.140625" style="3"/>
    <col min="10242" max="10242" width="13.42578125" style="3" bestFit="1" customWidth="1"/>
    <col min="10243" max="10243" width="14" style="3" bestFit="1" customWidth="1"/>
    <col min="10244" max="10244" width="9.85546875" style="3" bestFit="1" customWidth="1"/>
    <col min="10245" max="10245" width="11.140625" style="3" bestFit="1" customWidth="1"/>
    <col min="10246" max="10246" width="6.5703125" style="3" bestFit="1" customWidth="1"/>
    <col min="10247" max="10247" width="7.5703125" style="3" bestFit="1" customWidth="1"/>
    <col min="10248" max="10248" width="16.85546875" style="3" bestFit="1" customWidth="1"/>
    <col min="10249" max="10249" width="10.85546875" style="3" bestFit="1" customWidth="1"/>
    <col min="10250" max="10250" width="6.28515625" style="3" bestFit="1" customWidth="1"/>
    <col min="10251" max="10251" width="10.140625" style="3" bestFit="1" customWidth="1"/>
    <col min="10252" max="10252" width="11.7109375" style="3" bestFit="1" customWidth="1"/>
    <col min="10253" max="10253" width="12" style="3" bestFit="1" customWidth="1"/>
    <col min="10254" max="10254" width="7.85546875" style="3" bestFit="1" customWidth="1"/>
    <col min="10255" max="10497" width="9.140625" style="3"/>
    <col min="10498" max="10498" width="13.42578125" style="3" bestFit="1" customWidth="1"/>
    <col min="10499" max="10499" width="14" style="3" bestFit="1" customWidth="1"/>
    <col min="10500" max="10500" width="9.85546875" style="3" bestFit="1" customWidth="1"/>
    <col min="10501" max="10501" width="11.140625" style="3" bestFit="1" customWidth="1"/>
    <col min="10502" max="10502" width="6.5703125" style="3" bestFit="1" customWidth="1"/>
    <col min="10503" max="10503" width="7.5703125" style="3" bestFit="1" customWidth="1"/>
    <col min="10504" max="10504" width="16.85546875" style="3" bestFit="1" customWidth="1"/>
    <col min="10505" max="10505" width="10.85546875" style="3" bestFit="1" customWidth="1"/>
    <col min="10506" max="10506" width="6.28515625" style="3" bestFit="1" customWidth="1"/>
    <col min="10507" max="10507" width="10.140625" style="3" bestFit="1" customWidth="1"/>
    <col min="10508" max="10508" width="11.7109375" style="3" bestFit="1" customWidth="1"/>
    <col min="10509" max="10509" width="12" style="3" bestFit="1" customWidth="1"/>
    <col min="10510" max="10510" width="7.85546875" style="3" bestFit="1" customWidth="1"/>
    <col min="10511" max="10753" width="9.140625" style="3"/>
    <col min="10754" max="10754" width="13.42578125" style="3" bestFit="1" customWidth="1"/>
    <col min="10755" max="10755" width="14" style="3" bestFit="1" customWidth="1"/>
    <col min="10756" max="10756" width="9.85546875" style="3" bestFit="1" customWidth="1"/>
    <col min="10757" max="10757" width="11.140625" style="3" bestFit="1" customWidth="1"/>
    <col min="10758" max="10758" width="6.5703125" style="3" bestFit="1" customWidth="1"/>
    <col min="10759" max="10759" width="7.5703125" style="3" bestFit="1" customWidth="1"/>
    <col min="10760" max="10760" width="16.85546875" style="3" bestFit="1" customWidth="1"/>
    <col min="10761" max="10761" width="10.85546875" style="3" bestFit="1" customWidth="1"/>
    <col min="10762" max="10762" width="6.28515625" style="3" bestFit="1" customWidth="1"/>
    <col min="10763" max="10763" width="10.140625" style="3" bestFit="1" customWidth="1"/>
    <col min="10764" max="10764" width="11.7109375" style="3" bestFit="1" customWidth="1"/>
    <col min="10765" max="10765" width="12" style="3" bestFit="1" customWidth="1"/>
    <col min="10766" max="10766" width="7.85546875" style="3" bestFit="1" customWidth="1"/>
    <col min="10767" max="11009" width="9.140625" style="3"/>
    <col min="11010" max="11010" width="13.42578125" style="3" bestFit="1" customWidth="1"/>
    <col min="11011" max="11011" width="14" style="3" bestFit="1" customWidth="1"/>
    <col min="11012" max="11012" width="9.85546875" style="3" bestFit="1" customWidth="1"/>
    <col min="11013" max="11013" width="11.140625" style="3" bestFit="1" customWidth="1"/>
    <col min="11014" max="11014" width="6.5703125" style="3" bestFit="1" customWidth="1"/>
    <col min="11015" max="11015" width="7.5703125" style="3" bestFit="1" customWidth="1"/>
    <col min="11016" max="11016" width="16.85546875" style="3" bestFit="1" customWidth="1"/>
    <col min="11017" max="11017" width="10.85546875" style="3" bestFit="1" customWidth="1"/>
    <col min="11018" max="11018" width="6.28515625" style="3" bestFit="1" customWidth="1"/>
    <col min="11019" max="11019" width="10.140625" style="3" bestFit="1" customWidth="1"/>
    <col min="11020" max="11020" width="11.7109375" style="3" bestFit="1" customWidth="1"/>
    <col min="11021" max="11021" width="12" style="3" bestFit="1" customWidth="1"/>
    <col min="11022" max="11022" width="7.85546875" style="3" bestFit="1" customWidth="1"/>
    <col min="11023" max="11265" width="9.140625" style="3"/>
    <col min="11266" max="11266" width="13.42578125" style="3" bestFit="1" customWidth="1"/>
    <col min="11267" max="11267" width="14" style="3" bestFit="1" customWidth="1"/>
    <col min="11268" max="11268" width="9.85546875" style="3" bestFit="1" customWidth="1"/>
    <col min="11269" max="11269" width="11.140625" style="3" bestFit="1" customWidth="1"/>
    <col min="11270" max="11270" width="6.5703125" style="3" bestFit="1" customWidth="1"/>
    <col min="11271" max="11271" width="7.5703125" style="3" bestFit="1" customWidth="1"/>
    <col min="11272" max="11272" width="16.85546875" style="3" bestFit="1" customWidth="1"/>
    <col min="11273" max="11273" width="10.85546875" style="3" bestFit="1" customWidth="1"/>
    <col min="11274" max="11274" width="6.28515625" style="3" bestFit="1" customWidth="1"/>
    <col min="11275" max="11275" width="10.140625" style="3" bestFit="1" customWidth="1"/>
    <col min="11276" max="11276" width="11.7109375" style="3" bestFit="1" customWidth="1"/>
    <col min="11277" max="11277" width="12" style="3" bestFit="1" customWidth="1"/>
    <col min="11278" max="11278" width="7.85546875" style="3" bestFit="1" customWidth="1"/>
    <col min="11279" max="11521" width="9.140625" style="3"/>
    <col min="11522" max="11522" width="13.42578125" style="3" bestFit="1" customWidth="1"/>
    <col min="11523" max="11523" width="14" style="3" bestFit="1" customWidth="1"/>
    <col min="11524" max="11524" width="9.85546875" style="3" bestFit="1" customWidth="1"/>
    <col min="11525" max="11525" width="11.140625" style="3" bestFit="1" customWidth="1"/>
    <col min="11526" max="11526" width="6.5703125" style="3" bestFit="1" customWidth="1"/>
    <col min="11527" max="11527" width="7.5703125" style="3" bestFit="1" customWidth="1"/>
    <col min="11528" max="11528" width="16.85546875" style="3" bestFit="1" customWidth="1"/>
    <col min="11529" max="11529" width="10.85546875" style="3" bestFit="1" customWidth="1"/>
    <col min="11530" max="11530" width="6.28515625" style="3" bestFit="1" customWidth="1"/>
    <col min="11531" max="11531" width="10.140625" style="3" bestFit="1" customWidth="1"/>
    <col min="11532" max="11532" width="11.7109375" style="3" bestFit="1" customWidth="1"/>
    <col min="11533" max="11533" width="12" style="3" bestFit="1" customWidth="1"/>
    <col min="11534" max="11534" width="7.85546875" style="3" bestFit="1" customWidth="1"/>
    <col min="11535" max="11777" width="9.140625" style="3"/>
    <col min="11778" max="11778" width="13.42578125" style="3" bestFit="1" customWidth="1"/>
    <col min="11779" max="11779" width="14" style="3" bestFit="1" customWidth="1"/>
    <col min="11780" max="11780" width="9.85546875" style="3" bestFit="1" customWidth="1"/>
    <col min="11781" max="11781" width="11.140625" style="3" bestFit="1" customWidth="1"/>
    <col min="11782" max="11782" width="6.5703125" style="3" bestFit="1" customWidth="1"/>
    <col min="11783" max="11783" width="7.5703125" style="3" bestFit="1" customWidth="1"/>
    <col min="11784" max="11784" width="16.85546875" style="3" bestFit="1" customWidth="1"/>
    <col min="11785" max="11785" width="10.85546875" style="3" bestFit="1" customWidth="1"/>
    <col min="11786" max="11786" width="6.28515625" style="3" bestFit="1" customWidth="1"/>
    <col min="11787" max="11787" width="10.140625" style="3" bestFit="1" customWidth="1"/>
    <col min="11788" max="11788" width="11.7109375" style="3" bestFit="1" customWidth="1"/>
    <col min="11789" max="11789" width="12" style="3" bestFit="1" customWidth="1"/>
    <col min="11790" max="11790" width="7.85546875" style="3" bestFit="1" customWidth="1"/>
    <col min="11791" max="12033" width="9.140625" style="3"/>
    <col min="12034" max="12034" width="13.42578125" style="3" bestFit="1" customWidth="1"/>
    <col min="12035" max="12035" width="14" style="3" bestFit="1" customWidth="1"/>
    <col min="12036" max="12036" width="9.85546875" style="3" bestFit="1" customWidth="1"/>
    <col min="12037" max="12037" width="11.140625" style="3" bestFit="1" customWidth="1"/>
    <col min="12038" max="12038" width="6.5703125" style="3" bestFit="1" customWidth="1"/>
    <col min="12039" max="12039" width="7.5703125" style="3" bestFit="1" customWidth="1"/>
    <col min="12040" max="12040" width="16.85546875" style="3" bestFit="1" customWidth="1"/>
    <col min="12041" max="12041" width="10.85546875" style="3" bestFit="1" customWidth="1"/>
    <col min="12042" max="12042" width="6.28515625" style="3" bestFit="1" customWidth="1"/>
    <col min="12043" max="12043" width="10.140625" style="3" bestFit="1" customWidth="1"/>
    <col min="12044" max="12044" width="11.7109375" style="3" bestFit="1" customWidth="1"/>
    <col min="12045" max="12045" width="12" style="3" bestFit="1" customWidth="1"/>
    <col min="12046" max="12046" width="7.85546875" style="3" bestFit="1" customWidth="1"/>
    <col min="12047" max="12289" width="9.140625" style="3"/>
    <col min="12290" max="12290" width="13.42578125" style="3" bestFit="1" customWidth="1"/>
    <col min="12291" max="12291" width="14" style="3" bestFit="1" customWidth="1"/>
    <col min="12292" max="12292" width="9.85546875" style="3" bestFit="1" customWidth="1"/>
    <col min="12293" max="12293" width="11.140625" style="3" bestFit="1" customWidth="1"/>
    <col min="12294" max="12294" width="6.5703125" style="3" bestFit="1" customWidth="1"/>
    <col min="12295" max="12295" width="7.5703125" style="3" bestFit="1" customWidth="1"/>
    <col min="12296" max="12296" width="16.85546875" style="3" bestFit="1" customWidth="1"/>
    <col min="12297" max="12297" width="10.85546875" style="3" bestFit="1" customWidth="1"/>
    <col min="12298" max="12298" width="6.28515625" style="3" bestFit="1" customWidth="1"/>
    <col min="12299" max="12299" width="10.140625" style="3" bestFit="1" customWidth="1"/>
    <col min="12300" max="12300" width="11.7109375" style="3" bestFit="1" customWidth="1"/>
    <col min="12301" max="12301" width="12" style="3" bestFit="1" customWidth="1"/>
    <col min="12302" max="12302" width="7.85546875" style="3" bestFit="1" customWidth="1"/>
    <col min="12303" max="12545" width="9.140625" style="3"/>
    <col min="12546" max="12546" width="13.42578125" style="3" bestFit="1" customWidth="1"/>
    <col min="12547" max="12547" width="14" style="3" bestFit="1" customWidth="1"/>
    <col min="12548" max="12548" width="9.85546875" style="3" bestFit="1" customWidth="1"/>
    <col min="12549" max="12549" width="11.140625" style="3" bestFit="1" customWidth="1"/>
    <col min="12550" max="12550" width="6.5703125" style="3" bestFit="1" customWidth="1"/>
    <col min="12551" max="12551" width="7.5703125" style="3" bestFit="1" customWidth="1"/>
    <col min="12552" max="12552" width="16.85546875" style="3" bestFit="1" customWidth="1"/>
    <col min="12553" max="12553" width="10.85546875" style="3" bestFit="1" customWidth="1"/>
    <col min="12554" max="12554" width="6.28515625" style="3" bestFit="1" customWidth="1"/>
    <col min="12555" max="12555" width="10.140625" style="3" bestFit="1" customWidth="1"/>
    <col min="12556" max="12556" width="11.7109375" style="3" bestFit="1" customWidth="1"/>
    <col min="12557" max="12557" width="12" style="3" bestFit="1" customWidth="1"/>
    <col min="12558" max="12558" width="7.85546875" style="3" bestFit="1" customWidth="1"/>
    <col min="12559" max="12801" width="9.140625" style="3"/>
    <col min="12802" max="12802" width="13.42578125" style="3" bestFit="1" customWidth="1"/>
    <col min="12803" max="12803" width="14" style="3" bestFit="1" customWidth="1"/>
    <col min="12804" max="12804" width="9.85546875" style="3" bestFit="1" customWidth="1"/>
    <col min="12805" max="12805" width="11.140625" style="3" bestFit="1" customWidth="1"/>
    <col min="12806" max="12806" width="6.5703125" style="3" bestFit="1" customWidth="1"/>
    <col min="12807" max="12807" width="7.5703125" style="3" bestFit="1" customWidth="1"/>
    <col min="12808" max="12808" width="16.85546875" style="3" bestFit="1" customWidth="1"/>
    <col min="12809" max="12809" width="10.85546875" style="3" bestFit="1" customWidth="1"/>
    <col min="12810" max="12810" width="6.28515625" style="3" bestFit="1" customWidth="1"/>
    <col min="12811" max="12811" width="10.140625" style="3" bestFit="1" customWidth="1"/>
    <col min="12812" max="12812" width="11.7109375" style="3" bestFit="1" customWidth="1"/>
    <col min="12813" max="12813" width="12" style="3" bestFit="1" customWidth="1"/>
    <col min="12814" max="12814" width="7.85546875" style="3" bestFit="1" customWidth="1"/>
    <col min="12815" max="13057" width="9.140625" style="3"/>
    <col min="13058" max="13058" width="13.42578125" style="3" bestFit="1" customWidth="1"/>
    <col min="13059" max="13059" width="14" style="3" bestFit="1" customWidth="1"/>
    <col min="13060" max="13060" width="9.85546875" style="3" bestFit="1" customWidth="1"/>
    <col min="13061" max="13061" width="11.140625" style="3" bestFit="1" customWidth="1"/>
    <col min="13062" max="13062" width="6.5703125" style="3" bestFit="1" customWidth="1"/>
    <col min="13063" max="13063" width="7.5703125" style="3" bestFit="1" customWidth="1"/>
    <col min="13064" max="13064" width="16.85546875" style="3" bestFit="1" customWidth="1"/>
    <col min="13065" max="13065" width="10.85546875" style="3" bestFit="1" customWidth="1"/>
    <col min="13066" max="13066" width="6.28515625" style="3" bestFit="1" customWidth="1"/>
    <col min="13067" max="13067" width="10.140625" style="3" bestFit="1" customWidth="1"/>
    <col min="13068" max="13068" width="11.7109375" style="3" bestFit="1" customWidth="1"/>
    <col min="13069" max="13069" width="12" style="3" bestFit="1" customWidth="1"/>
    <col min="13070" max="13070" width="7.85546875" style="3" bestFit="1" customWidth="1"/>
    <col min="13071" max="13313" width="9.140625" style="3"/>
    <col min="13314" max="13314" width="13.42578125" style="3" bestFit="1" customWidth="1"/>
    <col min="13315" max="13315" width="14" style="3" bestFit="1" customWidth="1"/>
    <col min="13316" max="13316" width="9.85546875" style="3" bestFit="1" customWidth="1"/>
    <col min="13317" max="13317" width="11.140625" style="3" bestFit="1" customWidth="1"/>
    <col min="13318" max="13318" width="6.5703125" style="3" bestFit="1" customWidth="1"/>
    <col min="13319" max="13319" width="7.5703125" style="3" bestFit="1" customWidth="1"/>
    <col min="13320" max="13320" width="16.85546875" style="3" bestFit="1" customWidth="1"/>
    <col min="13321" max="13321" width="10.85546875" style="3" bestFit="1" customWidth="1"/>
    <col min="13322" max="13322" width="6.28515625" style="3" bestFit="1" customWidth="1"/>
    <col min="13323" max="13323" width="10.140625" style="3" bestFit="1" customWidth="1"/>
    <col min="13324" max="13324" width="11.7109375" style="3" bestFit="1" customWidth="1"/>
    <col min="13325" max="13325" width="12" style="3" bestFit="1" customWidth="1"/>
    <col min="13326" max="13326" width="7.85546875" style="3" bestFit="1" customWidth="1"/>
    <col min="13327" max="13569" width="9.140625" style="3"/>
    <col min="13570" max="13570" width="13.42578125" style="3" bestFit="1" customWidth="1"/>
    <col min="13571" max="13571" width="14" style="3" bestFit="1" customWidth="1"/>
    <col min="13572" max="13572" width="9.85546875" style="3" bestFit="1" customWidth="1"/>
    <col min="13573" max="13573" width="11.140625" style="3" bestFit="1" customWidth="1"/>
    <col min="13574" max="13574" width="6.5703125" style="3" bestFit="1" customWidth="1"/>
    <col min="13575" max="13575" width="7.5703125" style="3" bestFit="1" customWidth="1"/>
    <col min="13576" max="13576" width="16.85546875" style="3" bestFit="1" customWidth="1"/>
    <col min="13577" max="13577" width="10.85546875" style="3" bestFit="1" customWidth="1"/>
    <col min="13578" max="13578" width="6.28515625" style="3" bestFit="1" customWidth="1"/>
    <col min="13579" max="13579" width="10.140625" style="3" bestFit="1" customWidth="1"/>
    <col min="13580" max="13580" width="11.7109375" style="3" bestFit="1" customWidth="1"/>
    <col min="13581" max="13581" width="12" style="3" bestFit="1" customWidth="1"/>
    <col min="13582" max="13582" width="7.85546875" style="3" bestFit="1" customWidth="1"/>
    <col min="13583" max="13825" width="9.140625" style="3"/>
    <col min="13826" max="13826" width="13.42578125" style="3" bestFit="1" customWidth="1"/>
    <col min="13827" max="13827" width="14" style="3" bestFit="1" customWidth="1"/>
    <col min="13828" max="13828" width="9.85546875" style="3" bestFit="1" customWidth="1"/>
    <col min="13829" max="13829" width="11.140625" style="3" bestFit="1" customWidth="1"/>
    <col min="13830" max="13830" width="6.5703125" style="3" bestFit="1" customWidth="1"/>
    <col min="13831" max="13831" width="7.5703125" style="3" bestFit="1" customWidth="1"/>
    <col min="13832" max="13832" width="16.85546875" style="3" bestFit="1" customWidth="1"/>
    <col min="13833" max="13833" width="10.85546875" style="3" bestFit="1" customWidth="1"/>
    <col min="13834" max="13834" width="6.28515625" style="3" bestFit="1" customWidth="1"/>
    <col min="13835" max="13835" width="10.140625" style="3" bestFit="1" customWidth="1"/>
    <col min="13836" max="13836" width="11.7109375" style="3" bestFit="1" customWidth="1"/>
    <col min="13837" max="13837" width="12" style="3" bestFit="1" customWidth="1"/>
    <col min="13838" max="13838" width="7.85546875" style="3" bestFit="1" customWidth="1"/>
    <col min="13839" max="14081" width="9.140625" style="3"/>
    <col min="14082" max="14082" width="13.42578125" style="3" bestFit="1" customWidth="1"/>
    <col min="14083" max="14083" width="14" style="3" bestFit="1" customWidth="1"/>
    <col min="14084" max="14084" width="9.85546875" style="3" bestFit="1" customWidth="1"/>
    <col min="14085" max="14085" width="11.140625" style="3" bestFit="1" customWidth="1"/>
    <col min="14086" max="14086" width="6.5703125" style="3" bestFit="1" customWidth="1"/>
    <col min="14087" max="14087" width="7.5703125" style="3" bestFit="1" customWidth="1"/>
    <col min="14088" max="14088" width="16.85546875" style="3" bestFit="1" customWidth="1"/>
    <col min="14089" max="14089" width="10.85546875" style="3" bestFit="1" customWidth="1"/>
    <col min="14090" max="14090" width="6.28515625" style="3" bestFit="1" customWidth="1"/>
    <col min="14091" max="14091" width="10.140625" style="3" bestFit="1" customWidth="1"/>
    <col min="14092" max="14092" width="11.7109375" style="3" bestFit="1" customWidth="1"/>
    <col min="14093" max="14093" width="12" style="3" bestFit="1" customWidth="1"/>
    <col min="14094" max="14094" width="7.85546875" style="3" bestFit="1" customWidth="1"/>
    <col min="14095" max="14337" width="9.140625" style="3"/>
    <col min="14338" max="14338" width="13.42578125" style="3" bestFit="1" customWidth="1"/>
    <col min="14339" max="14339" width="14" style="3" bestFit="1" customWidth="1"/>
    <col min="14340" max="14340" width="9.85546875" style="3" bestFit="1" customWidth="1"/>
    <col min="14341" max="14341" width="11.140625" style="3" bestFit="1" customWidth="1"/>
    <col min="14342" max="14342" width="6.5703125" style="3" bestFit="1" customWidth="1"/>
    <col min="14343" max="14343" width="7.5703125" style="3" bestFit="1" customWidth="1"/>
    <col min="14344" max="14344" width="16.85546875" style="3" bestFit="1" customWidth="1"/>
    <col min="14345" max="14345" width="10.85546875" style="3" bestFit="1" customWidth="1"/>
    <col min="14346" max="14346" width="6.28515625" style="3" bestFit="1" customWidth="1"/>
    <col min="14347" max="14347" width="10.140625" style="3" bestFit="1" customWidth="1"/>
    <col min="14348" max="14348" width="11.7109375" style="3" bestFit="1" customWidth="1"/>
    <col min="14349" max="14349" width="12" style="3" bestFit="1" customWidth="1"/>
    <col min="14350" max="14350" width="7.85546875" style="3" bestFit="1" customWidth="1"/>
    <col min="14351" max="14593" width="9.140625" style="3"/>
    <col min="14594" max="14594" width="13.42578125" style="3" bestFit="1" customWidth="1"/>
    <col min="14595" max="14595" width="14" style="3" bestFit="1" customWidth="1"/>
    <col min="14596" max="14596" width="9.85546875" style="3" bestFit="1" customWidth="1"/>
    <col min="14597" max="14597" width="11.140625" style="3" bestFit="1" customWidth="1"/>
    <col min="14598" max="14598" width="6.5703125" style="3" bestFit="1" customWidth="1"/>
    <col min="14599" max="14599" width="7.5703125" style="3" bestFit="1" customWidth="1"/>
    <col min="14600" max="14600" width="16.85546875" style="3" bestFit="1" customWidth="1"/>
    <col min="14601" max="14601" width="10.85546875" style="3" bestFit="1" customWidth="1"/>
    <col min="14602" max="14602" width="6.28515625" style="3" bestFit="1" customWidth="1"/>
    <col min="14603" max="14603" width="10.140625" style="3" bestFit="1" customWidth="1"/>
    <col min="14604" max="14604" width="11.7109375" style="3" bestFit="1" customWidth="1"/>
    <col min="14605" max="14605" width="12" style="3" bestFit="1" customWidth="1"/>
    <col min="14606" max="14606" width="7.85546875" style="3" bestFit="1" customWidth="1"/>
    <col min="14607" max="14849" width="9.140625" style="3"/>
    <col min="14850" max="14850" width="13.42578125" style="3" bestFit="1" customWidth="1"/>
    <col min="14851" max="14851" width="14" style="3" bestFit="1" customWidth="1"/>
    <col min="14852" max="14852" width="9.85546875" style="3" bestFit="1" customWidth="1"/>
    <col min="14853" max="14853" width="11.140625" style="3" bestFit="1" customWidth="1"/>
    <col min="14854" max="14854" width="6.5703125" style="3" bestFit="1" customWidth="1"/>
    <col min="14855" max="14855" width="7.5703125" style="3" bestFit="1" customWidth="1"/>
    <col min="14856" max="14856" width="16.85546875" style="3" bestFit="1" customWidth="1"/>
    <col min="14857" max="14857" width="10.85546875" style="3" bestFit="1" customWidth="1"/>
    <col min="14858" max="14858" width="6.28515625" style="3" bestFit="1" customWidth="1"/>
    <col min="14859" max="14859" width="10.140625" style="3" bestFit="1" customWidth="1"/>
    <col min="14860" max="14860" width="11.7109375" style="3" bestFit="1" customWidth="1"/>
    <col min="14861" max="14861" width="12" style="3" bestFit="1" customWidth="1"/>
    <col min="14862" max="14862" width="7.85546875" style="3" bestFit="1" customWidth="1"/>
    <col min="14863" max="15105" width="9.140625" style="3"/>
    <col min="15106" max="15106" width="13.42578125" style="3" bestFit="1" customWidth="1"/>
    <col min="15107" max="15107" width="14" style="3" bestFit="1" customWidth="1"/>
    <col min="15108" max="15108" width="9.85546875" style="3" bestFit="1" customWidth="1"/>
    <col min="15109" max="15109" width="11.140625" style="3" bestFit="1" customWidth="1"/>
    <col min="15110" max="15110" width="6.5703125" style="3" bestFit="1" customWidth="1"/>
    <col min="15111" max="15111" width="7.5703125" style="3" bestFit="1" customWidth="1"/>
    <col min="15112" max="15112" width="16.85546875" style="3" bestFit="1" customWidth="1"/>
    <col min="15113" max="15113" width="10.85546875" style="3" bestFit="1" customWidth="1"/>
    <col min="15114" max="15114" width="6.28515625" style="3" bestFit="1" customWidth="1"/>
    <col min="15115" max="15115" width="10.140625" style="3" bestFit="1" customWidth="1"/>
    <col min="15116" max="15116" width="11.7109375" style="3" bestFit="1" customWidth="1"/>
    <col min="15117" max="15117" width="12" style="3" bestFit="1" customWidth="1"/>
    <col min="15118" max="15118" width="7.85546875" style="3" bestFit="1" customWidth="1"/>
    <col min="15119" max="15361" width="9.140625" style="3"/>
    <col min="15362" max="15362" width="13.42578125" style="3" bestFit="1" customWidth="1"/>
    <col min="15363" max="15363" width="14" style="3" bestFit="1" customWidth="1"/>
    <col min="15364" max="15364" width="9.85546875" style="3" bestFit="1" customWidth="1"/>
    <col min="15365" max="15365" width="11.140625" style="3" bestFit="1" customWidth="1"/>
    <col min="15366" max="15366" width="6.5703125" style="3" bestFit="1" customWidth="1"/>
    <col min="15367" max="15367" width="7.5703125" style="3" bestFit="1" customWidth="1"/>
    <col min="15368" max="15368" width="16.85546875" style="3" bestFit="1" customWidth="1"/>
    <col min="15369" max="15369" width="10.85546875" style="3" bestFit="1" customWidth="1"/>
    <col min="15370" max="15370" width="6.28515625" style="3" bestFit="1" customWidth="1"/>
    <col min="15371" max="15371" width="10.140625" style="3" bestFit="1" customWidth="1"/>
    <col min="15372" max="15372" width="11.7109375" style="3" bestFit="1" customWidth="1"/>
    <col min="15373" max="15373" width="12" style="3" bestFit="1" customWidth="1"/>
    <col min="15374" max="15374" width="7.85546875" style="3" bestFit="1" customWidth="1"/>
    <col min="15375" max="15617" width="9.140625" style="3"/>
    <col min="15618" max="15618" width="13.42578125" style="3" bestFit="1" customWidth="1"/>
    <col min="15619" max="15619" width="14" style="3" bestFit="1" customWidth="1"/>
    <col min="15620" max="15620" width="9.85546875" style="3" bestFit="1" customWidth="1"/>
    <col min="15621" max="15621" width="11.140625" style="3" bestFit="1" customWidth="1"/>
    <col min="15622" max="15622" width="6.5703125" style="3" bestFit="1" customWidth="1"/>
    <col min="15623" max="15623" width="7.5703125" style="3" bestFit="1" customWidth="1"/>
    <col min="15624" max="15624" width="16.85546875" style="3" bestFit="1" customWidth="1"/>
    <col min="15625" max="15625" width="10.85546875" style="3" bestFit="1" customWidth="1"/>
    <col min="15626" max="15626" width="6.28515625" style="3" bestFit="1" customWidth="1"/>
    <col min="15627" max="15627" width="10.140625" style="3" bestFit="1" customWidth="1"/>
    <col min="15628" max="15628" width="11.7109375" style="3" bestFit="1" customWidth="1"/>
    <col min="15629" max="15629" width="12" style="3" bestFit="1" customWidth="1"/>
    <col min="15630" max="15630" width="7.85546875" style="3" bestFit="1" customWidth="1"/>
    <col min="15631" max="15873" width="9.140625" style="3"/>
    <col min="15874" max="15874" width="13.42578125" style="3" bestFit="1" customWidth="1"/>
    <col min="15875" max="15875" width="14" style="3" bestFit="1" customWidth="1"/>
    <col min="15876" max="15876" width="9.85546875" style="3" bestFit="1" customWidth="1"/>
    <col min="15877" max="15877" width="11.140625" style="3" bestFit="1" customWidth="1"/>
    <col min="15878" max="15878" width="6.5703125" style="3" bestFit="1" customWidth="1"/>
    <col min="15879" max="15879" width="7.5703125" style="3" bestFit="1" customWidth="1"/>
    <col min="15880" max="15880" width="16.85546875" style="3" bestFit="1" customWidth="1"/>
    <col min="15881" max="15881" width="10.85546875" style="3" bestFit="1" customWidth="1"/>
    <col min="15882" max="15882" width="6.28515625" style="3" bestFit="1" customWidth="1"/>
    <col min="15883" max="15883" width="10.140625" style="3" bestFit="1" customWidth="1"/>
    <col min="15884" max="15884" width="11.7109375" style="3" bestFit="1" customWidth="1"/>
    <col min="15885" max="15885" width="12" style="3" bestFit="1" customWidth="1"/>
    <col min="15886" max="15886" width="7.85546875" style="3" bestFit="1" customWidth="1"/>
    <col min="15887" max="16129" width="9.140625" style="3"/>
    <col min="16130" max="16130" width="13.42578125" style="3" bestFit="1" customWidth="1"/>
    <col min="16131" max="16131" width="14" style="3" bestFit="1" customWidth="1"/>
    <col min="16132" max="16132" width="9.85546875" style="3" bestFit="1" customWidth="1"/>
    <col min="16133" max="16133" width="11.140625" style="3" bestFit="1" customWidth="1"/>
    <col min="16134" max="16134" width="6.5703125" style="3" bestFit="1" customWidth="1"/>
    <col min="16135" max="16135" width="7.5703125" style="3" bestFit="1" customWidth="1"/>
    <col min="16136" max="16136" width="16.85546875" style="3" bestFit="1" customWidth="1"/>
    <col min="16137" max="16137" width="10.85546875" style="3" bestFit="1" customWidth="1"/>
    <col min="16138" max="16138" width="6.28515625" style="3" bestFit="1" customWidth="1"/>
    <col min="16139" max="16139" width="10.140625" style="3" bestFit="1" customWidth="1"/>
    <col min="16140" max="16140" width="11.7109375" style="3" bestFit="1" customWidth="1"/>
    <col min="16141" max="16141" width="12" style="3" bestFit="1" customWidth="1"/>
    <col min="16142" max="16142" width="7.85546875" style="3" bestFit="1" customWidth="1"/>
    <col min="16143" max="16384" width="9.140625" style="3"/>
  </cols>
  <sheetData>
    <row r="1" spans="1:14" x14ac:dyDescent="0.2">
      <c r="A1" s="1" t="s">
        <v>0</v>
      </c>
      <c r="B1" s="2" t="s">
        <v>1</v>
      </c>
      <c r="C1" s="2" t="s">
        <v>2</v>
      </c>
      <c r="D1" s="1" t="s">
        <v>3</v>
      </c>
      <c r="E1" s="1" t="s">
        <v>4</v>
      </c>
      <c r="F1" s="2" t="s">
        <v>5</v>
      </c>
      <c r="G1" s="2" t="s">
        <v>6</v>
      </c>
      <c r="H1" s="2" t="s">
        <v>7</v>
      </c>
      <c r="I1" s="2" t="s">
        <v>8</v>
      </c>
      <c r="J1" s="2" t="s">
        <v>9</v>
      </c>
      <c r="K1" s="1" t="s">
        <v>10</v>
      </c>
      <c r="L1" s="1" t="s">
        <v>11</v>
      </c>
      <c r="M1" s="1" t="s">
        <v>12</v>
      </c>
      <c r="N1" s="1" t="s">
        <v>13</v>
      </c>
    </row>
    <row r="2" spans="1:14" x14ac:dyDescent="0.2">
      <c r="A2" s="4">
        <v>44652</v>
      </c>
      <c r="B2" s="5" t="s">
        <v>14</v>
      </c>
      <c r="C2" s="5" t="s">
        <v>15</v>
      </c>
      <c r="D2" s="6">
        <v>50</v>
      </c>
      <c r="E2" s="6">
        <v>55</v>
      </c>
      <c r="F2" s="5" t="s">
        <v>16</v>
      </c>
      <c r="G2" s="5" t="s">
        <v>17</v>
      </c>
      <c r="H2" s="5" t="s">
        <v>18</v>
      </c>
      <c r="I2" s="5" t="s">
        <v>19</v>
      </c>
      <c r="J2" s="5" t="s">
        <v>20</v>
      </c>
      <c r="K2" s="6">
        <v>2000</v>
      </c>
      <c r="L2" s="6">
        <f>K2*E2</f>
        <v>110000</v>
      </c>
      <c r="M2" s="6">
        <f t="shared" ref="M2:M31" si="0">L2*5%</f>
        <v>5500</v>
      </c>
      <c r="N2" s="6">
        <f>((E2-D2)*K2)-M2</f>
        <v>4500</v>
      </c>
    </row>
    <row r="3" spans="1:14" x14ac:dyDescent="0.2">
      <c r="A3" s="4">
        <v>44653</v>
      </c>
      <c r="B3" s="5" t="s">
        <v>21</v>
      </c>
      <c r="C3" s="5" t="s">
        <v>22</v>
      </c>
      <c r="D3" s="6">
        <v>15</v>
      </c>
      <c r="E3" s="6">
        <v>20</v>
      </c>
      <c r="F3" s="5" t="s">
        <v>16</v>
      </c>
      <c r="G3" s="5" t="s">
        <v>23</v>
      </c>
      <c r="H3" s="5" t="s">
        <v>24</v>
      </c>
      <c r="I3" s="5" t="s">
        <v>25</v>
      </c>
      <c r="J3" s="5" t="s">
        <v>26</v>
      </c>
      <c r="K3" s="6">
        <v>1000</v>
      </c>
      <c r="L3" s="6">
        <f t="shared" ref="L3:L31" si="1">K3*E3</f>
        <v>20000</v>
      </c>
      <c r="M3" s="6">
        <f t="shared" si="0"/>
        <v>1000</v>
      </c>
      <c r="N3" s="6">
        <f t="shared" ref="N3:N31" si="2">((E3-D3)*K3)-M3</f>
        <v>4000</v>
      </c>
    </row>
    <row r="4" spans="1:14" x14ac:dyDescent="0.2">
      <c r="A4" s="4">
        <v>44654</v>
      </c>
      <c r="B4" s="5" t="s">
        <v>27</v>
      </c>
      <c r="C4" s="5" t="s">
        <v>28</v>
      </c>
      <c r="D4" s="6">
        <v>12</v>
      </c>
      <c r="E4" s="6">
        <v>15</v>
      </c>
      <c r="F4" s="5" t="s">
        <v>16</v>
      </c>
      <c r="G4" s="5" t="s">
        <v>29</v>
      </c>
      <c r="H4" s="5" t="s">
        <v>30</v>
      </c>
      <c r="I4" s="5" t="s">
        <v>31</v>
      </c>
      <c r="J4" s="5" t="s">
        <v>32</v>
      </c>
      <c r="K4" s="6">
        <v>1200</v>
      </c>
      <c r="L4" s="6">
        <f t="shared" si="1"/>
        <v>18000</v>
      </c>
      <c r="M4" s="6">
        <f t="shared" si="0"/>
        <v>900</v>
      </c>
      <c r="N4" s="6">
        <f t="shared" si="2"/>
        <v>2700</v>
      </c>
    </row>
    <row r="5" spans="1:14" x14ac:dyDescent="0.2">
      <c r="A5" s="4">
        <v>44655</v>
      </c>
      <c r="B5" s="5" t="s">
        <v>33</v>
      </c>
      <c r="C5" s="5" t="s">
        <v>34</v>
      </c>
      <c r="D5" s="6">
        <v>150</v>
      </c>
      <c r="E5" s="6">
        <v>160</v>
      </c>
      <c r="F5" s="5" t="s">
        <v>16</v>
      </c>
      <c r="G5" s="5" t="s">
        <v>35</v>
      </c>
      <c r="H5" s="5" t="s">
        <v>36</v>
      </c>
      <c r="I5" s="5" t="s">
        <v>37</v>
      </c>
      <c r="J5" s="5" t="s">
        <v>38</v>
      </c>
      <c r="K5" s="6">
        <v>1250</v>
      </c>
      <c r="L5" s="6">
        <f t="shared" si="1"/>
        <v>200000</v>
      </c>
      <c r="M5" s="6">
        <f t="shared" si="0"/>
        <v>10000</v>
      </c>
      <c r="N5" s="6">
        <f t="shared" si="2"/>
        <v>2500</v>
      </c>
    </row>
    <row r="6" spans="1:14" x14ac:dyDescent="0.2">
      <c r="A6" s="4">
        <v>44656</v>
      </c>
      <c r="B6" s="5" t="s">
        <v>39</v>
      </c>
      <c r="C6" s="5" t="s">
        <v>40</v>
      </c>
      <c r="D6" s="6">
        <v>50</v>
      </c>
      <c r="E6" s="6">
        <v>60</v>
      </c>
      <c r="F6" s="5" t="s">
        <v>16</v>
      </c>
      <c r="G6" s="5" t="s">
        <v>17</v>
      </c>
      <c r="H6" s="5" t="s">
        <v>41</v>
      </c>
      <c r="I6" s="5" t="s">
        <v>42</v>
      </c>
      <c r="J6" s="5" t="s">
        <v>43</v>
      </c>
      <c r="K6" s="6">
        <v>1300</v>
      </c>
      <c r="L6" s="6">
        <f t="shared" si="1"/>
        <v>78000</v>
      </c>
      <c r="M6" s="6">
        <f t="shared" si="0"/>
        <v>3900</v>
      </c>
      <c r="N6" s="6">
        <f t="shared" si="2"/>
        <v>9100</v>
      </c>
    </row>
    <row r="7" spans="1:14" x14ac:dyDescent="0.2">
      <c r="A7" s="4">
        <v>44657</v>
      </c>
      <c r="B7" s="5" t="s">
        <v>14</v>
      </c>
      <c r="C7" s="5" t="s">
        <v>15</v>
      </c>
      <c r="D7" s="6">
        <v>50</v>
      </c>
      <c r="E7" s="6">
        <v>55</v>
      </c>
      <c r="F7" s="5" t="s">
        <v>44</v>
      </c>
      <c r="G7" s="5" t="s">
        <v>23</v>
      </c>
      <c r="H7" s="5" t="s">
        <v>45</v>
      </c>
      <c r="I7" s="5" t="s">
        <v>46</v>
      </c>
      <c r="J7" s="5" t="s">
        <v>47</v>
      </c>
      <c r="K7" s="6">
        <v>1350</v>
      </c>
      <c r="L7" s="6">
        <f t="shared" si="1"/>
        <v>74250</v>
      </c>
      <c r="M7" s="6">
        <f t="shared" si="0"/>
        <v>3712.5</v>
      </c>
      <c r="N7" s="6">
        <f t="shared" si="2"/>
        <v>3037.5</v>
      </c>
    </row>
    <row r="8" spans="1:14" x14ac:dyDescent="0.2">
      <c r="A8" s="4">
        <v>44658</v>
      </c>
      <c r="B8" s="5" t="s">
        <v>21</v>
      </c>
      <c r="C8" s="5" t="s">
        <v>22</v>
      </c>
      <c r="D8" s="6">
        <v>15</v>
      </c>
      <c r="E8" s="6">
        <v>20</v>
      </c>
      <c r="F8" s="5" t="s">
        <v>44</v>
      </c>
      <c r="G8" s="5" t="s">
        <v>29</v>
      </c>
      <c r="H8" s="5" t="s">
        <v>48</v>
      </c>
      <c r="I8" s="5" t="s">
        <v>49</v>
      </c>
      <c r="J8" s="5" t="s">
        <v>50</v>
      </c>
      <c r="K8" s="6">
        <v>1400</v>
      </c>
      <c r="L8" s="6">
        <f t="shared" si="1"/>
        <v>28000</v>
      </c>
      <c r="M8" s="6">
        <f t="shared" si="0"/>
        <v>1400</v>
      </c>
      <c r="N8" s="6">
        <f t="shared" si="2"/>
        <v>5600</v>
      </c>
    </row>
    <row r="9" spans="1:14" x14ac:dyDescent="0.2">
      <c r="A9" s="4">
        <v>44659</v>
      </c>
      <c r="B9" s="5" t="s">
        <v>27</v>
      </c>
      <c r="C9" s="5" t="s">
        <v>28</v>
      </c>
      <c r="D9" s="6">
        <v>12</v>
      </c>
      <c r="E9" s="6">
        <v>15</v>
      </c>
      <c r="F9" s="5" t="s">
        <v>44</v>
      </c>
      <c r="G9" s="5" t="s">
        <v>35</v>
      </c>
      <c r="H9" s="5" t="s">
        <v>51</v>
      </c>
      <c r="I9" s="5" t="s">
        <v>52</v>
      </c>
      <c r="J9" s="5" t="s">
        <v>53</v>
      </c>
      <c r="K9" s="6">
        <v>9000</v>
      </c>
      <c r="L9" s="6">
        <f t="shared" si="1"/>
        <v>135000</v>
      </c>
      <c r="M9" s="6">
        <f t="shared" si="0"/>
        <v>6750</v>
      </c>
      <c r="N9" s="6">
        <f t="shared" si="2"/>
        <v>20250</v>
      </c>
    </row>
    <row r="10" spans="1:14" x14ac:dyDescent="0.2">
      <c r="A10" s="4">
        <v>44660</v>
      </c>
      <c r="B10" s="5" t="s">
        <v>33</v>
      </c>
      <c r="C10" s="5" t="s">
        <v>34</v>
      </c>
      <c r="D10" s="6">
        <v>150</v>
      </c>
      <c r="E10" s="6">
        <v>160</v>
      </c>
      <c r="F10" s="5" t="s">
        <v>44</v>
      </c>
      <c r="G10" s="5" t="s">
        <v>17</v>
      </c>
      <c r="H10" s="5" t="s">
        <v>54</v>
      </c>
      <c r="I10" s="5" t="s">
        <v>55</v>
      </c>
      <c r="J10" s="5" t="s">
        <v>56</v>
      </c>
      <c r="K10" s="6">
        <v>800</v>
      </c>
      <c r="L10" s="6">
        <f t="shared" si="1"/>
        <v>128000</v>
      </c>
      <c r="M10" s="6">
        <f t="shared" si="0"/>
        <v>6400</v>
      </c>
      <c r="N10" s="6">
        <f t="shared" si="2"/>
        <v>1600</v>
      </c>
    </row>
    <row r="11" spans="1:14" x14ac:dyDescent="0.2">
      <c r="A11" s="4">
        <v>44661</v>
      </c>
      <c r="B11" s="5" t="s">
        <v>39</v>
      </c>
      <c r="C11" s="5" t="s">
        <v>40</v>
      </c>
      <c r="D11" s="6">
        <v>50</v>
      </c>
      <c r="E11" s="6">
        <v>60</v>
      </c>
      <c r="F11" s="5" t="s">
        <v>44</v>
      </c>
      <c r="G11" s="5" t="s">
        <v>23</v>
      </c>
      <c r="H11" s="5" t="s">
        <v>45</v>
      </c>
      <c r="I11" s="5" t="s">
        <v>57</v>
      </c>
      <c r="J11" s="5" t="s">
        <v>47</v>
      </c>
      <c r="K11" s="6">
        <v>1700</v>
      </c>
      <c r="L11" s="6">
        <f t="shared" si="1"/>
        <v>102000</v>
      </c>
      <c r="M11" s="6">
        <f t="shared" si="0"/>
        <v>5100</v>
      </c>
      <c r="N11" s="6">
        <f t="shared" si="2"/>
        <v>11900</v>
      </c>
    </row>
    <row r="12" spans="1:14" x14ac:dyDescent="0.2">
      <c r="A12" s="4">
        <v>44662</v>
      </c>
      <c r="B12" s="5" t="s">
        <v>14</v>
      </c>
      <c r="C12" s="5" t="s">
        <v>15</v>
      </c>
      <c r="D12" s="6">
        <v>50</v>
      </c>
      <c r="E12" s="6">
        <v>55</v>
      </c>
      <c r="F12" s="5" t="s">
        <v>58</v>
      </c>
      <c r="G12" s="5" t="s">
        <v>29</v>
      </c>
      <c r="H12" s="5" t="s">
        <v>59</v>
      </c>
      <c r="I12" s="5" t="s">
        <v>60</v>
      </c>
      <c r="J12" s="5" t="s">
        <v>61</v>
      </c>
      <c r="K12" s="6">
        <v>650</v>
      </c>
      <c r="L12" s="6">
        <f t="shared" si="1"/>
        <v>35750</v>
      </c>
      <c r="M12" s="6">
        <f t="shared" si="0"/>
        <v>1787.5</v>
      </c>
      <c r="N12" s="6">
        <f t="shared" si="2"/>
        <v>1462.5</v>
      </c>
    </row>
    <row r="13" spans="1:14" x14ac:dyDescent="0.2">
      <c r="A13" s="4">
        <v>44663</v>
      </c>
      <c r="B13" s="5" t="s">
        <v>21</v>
      </c>
      <c r="C13" s="5" t="s">
        <v>22</v>
      </c>
      <c r="D13" s="6">
        <v>15</v>
      </c>
      <c r="E13" s="6">
        <v>20</v>
      </c>
      <c r="F13" s="5" t="s">
        <v>58</v>
      </c>
      <c r="G13" s="5" t="s">
        <v>35</v>
      </c>
      <c r="H13" s="5" t="s">
        <v>62</v>
      </c>
      <c r="I13" s="5" t="s">
        <v>63</v>
      </c>
      <c r="J13" s="5" t="s">
        <v>64</v>
      </c>
      <c r="K13" s="6">
        <v>780</v>
      </c>
      <c r="L13" s="6">
        <f t="shared" si="1"/>
        <v>15600</v>
      </c>
      <c r="M13" s="6">
        <f t="shared" si="0"/>
        <v>780</v>
      </c>
      <c r="N13" s="6">
        <f t="shared" si="2"/>
        <v>3120</v>
      </c>
    </row>
    <row r="14" spans="1:14" x14ac:dyDescent="0.2">
      <c r="A14" s="4">
        <v>44664</v>
      </c>
      <c r="B14" s="5" t="s">
        <v>27</v>
      </c>
      <c r="C14" s="5" t="s">
        <v>28</v>
      </c>
      <c r="D14" s="6">
        <v>12</v>
      </c>
      <c r="E14" s="6">
        <v>15</v>
      </c>
      <c r="F14" s="5" t="s">
        <v>58</v>
      </c>
      <c r="G14" s="5" t="s">
        <v>17</v>
      </c>
      <c r="H14" s="5" t="s">
        <v>65</v>
      </c>
      <c r="I14" s="5" t="s">
        <v>66</v>
      </c>
      <c r="J14" s="5" t="s">
        <v>67</v>
      </c>
      <c r="K14" s="6">
        <v>820</v>
      </c>
      <c r="L14" s="6">
        <f t="shared" si="1"/>
        <v>12300</v>
      </c>
      <c r="M14" s="6">
        <f t="shared" si="0"/>
        <v>615</v>
      </c>
      <c r="N14" s="6">
        <f t="shared" si="2"/>
        <v>1845</v>
      </c>
    </row>
    <row r="15" spans="1:14" x14ac:dyDescent="0.2">
      <c r="A15" s="4">
        <v>44665</v>
      </c>
      <c r="B15" s="5" t="s">
        <v>33</v>
      </c>
      <c r="C15" s="5" t="s">
        <v>34</v>
      </c>
      <c r="D15" s="6">
        <v>150</v>
      </c>
      <c r="E15" s="6">
        <v>160</v>
      </c>
      <c r="F15" s="5" t="s">
        <v>58</v>
      </c>
      <c r="G15" s="5" t="s">
        <v>23</v>
      </c>
      <c r="H15" s="5" t="s">
        <v>24</v>
      </c>
      <c r="I15" s="5" t="s">
        <v>68</v>
      </c>
      <c r="J15" s="5" t="s">
        <v>26</v>
      </c>
      <c r="K15" s="6">
        <v>780</v>
      </c>
      <c r="L15" s="6">
        <f t="shared" si="1"/>
        <v>124800</v>
      </c>
      <c r="M15" s="6">
        <f t="shared" si="0"/>
        <v>6240</v>
      </c>
      <c r="N15" s="6">
        <f t="shared" si="2"/>
        <v>1560</v>
      </c>
    </row>
    <row r="16" spans="1:14" x14ac:dyDescent="0.2">
      <c r="A16" s="4">
        <v>44666</v>
      </c>
      <c r="B16" s="5" t="s">
        <v>39</v>
      </c>
      <c r="C16" s="5" t="s">
        <v>40</v>
      </c>
      <c r="D16" s="6">
        <v>50</v>
      </c>
      <c r="E16" s="6">
        <v>60</v>
      </c>
      <c r="F16" s="5" t="s">
        <v>58</v>
      </c>
      <c r="G16" s="5" t="s">
        <v>29</v>
      </c>
      <c r="H16" s="5" t="s">
        <v>69</v>
      </c>
      <c r="I16" s="5" t="s">
        <v>70</v>
      </c>
      <c r="J16" s="5" t="s">
        <v>71</v>
      </c>
      <c r="K16" s="6">
        <v>850</v>
      </c>
      <c r="L16" s="6">
        <f t="shared" si="1"/>
        <v>51000</v>
      </c>
      <c r="M16" s="6">
        <f t="shared" si="0"/>
        <v>2550</v>
      </c>
      <c r="N16" s="6">
        <f t="shared" si="2"/>
        <v>5950</v>
      </c>
    </row>
    <row r="17" spans="1:14" x14ac:dyDescent="0.2">
      <c r="A17" s="4">
        <v>44667</v>
      </c>
      <c r="B17" s="5" t="s">
        <v>14</v>
      </c>
      <c r="C17" s="5" t="s">
        <v>15</v>
      </c>
      <c r="D17" s="6">
        <v>50</v>
      </c>
      <c r="E17" s="6">
        <v>55</v>
      </c>
      <c r="F17" s="5" t="s">
        <v>72</v>
      </c>
      <c r="G17" s="5" t="s">
        <v>35</v>
      </c>
      <c r="H17" s="5" t="s">
        <v>73</v>
      </c>
      <c r="I17" s="5" t="s">
        <v>74</v>
      </c>
      <c r="J17" s="5" t="s">
        <v>75</v>
      </c>
      <c r="K17" s="6">
        <v>980</v>
      </c>
      <c r="L17" s="6">
        <f t="shared" si="1"/>
        <v>53900</v>
      </c>
      <c r="M17" s="6">
        <f t="shared" si="0"/>
        <v>2695</v>
      </c>
      <c r="N17" s="6">
        <f t="shared" si="2"/>
        <v>2205</v>
      </c>
    </row>
    <row r="18" spans="1:14" x14ac:dyDescent="0.2">
      <c r="A18" s="4">
        <v>44668</v>
      </c>
      <c r="B18" s="5" t="s">
        <v>21</v>
      </c>
      <c r="C18" s="5" t="s">
        <v>22</v>
      </c>
      <c r="D18" s="6">
        <v>15</v>
      </c>
      <c r="E18" s="6">
        <v>20</v>
      </c>
      <c r="F18" s="5" t="s">
        <v>72</v>
      </c>
      <c r="G18" s="5" t="s">
        <v>17</v>
      </c>
      <c r="H18" s="5" t="s">
        <v>76</v>
      </c>
      <c r="I18" s="5" t="s">
        <v>77</v>
      </c>
      <c r="J18" s="5" t="s">
        <v>78</v>
      </c>
      <c r="K18" s="6">
        <v>900</v>
      </c>
      <c r="L18" s="6">
        <f t="shared" si="1"/>
        <v>18000</v>
      </c>
      <c r="M18" s="6">
        <f t="shared" si="0"/>
        <v>900</v>
      </c>
      <c r="N18" s="6">
        <f t="shared" si="2"/>
        <v>3600</v>
      </c>
    </row>
    <row r="19" spans="1:14" x14ac:dyDescent="0.2">
      <c r="A19" s="4">
        <v>44669</v>
      </c>
      <c r="B19" s="5" t="s">
        <v>27</v>
      </c>
      <c r="C19" s="5" t="s">
        <v>28</v>
      </c>
      <c r="D19" s="6">
        <v>12</v>
      </c>
      <c r="E19" s="6">
        <v>15</v>
      </c>
      <c r="F19" s="5" t="s">
        <v>72</v>
      </c>
      <c r="G19" s="5" t="s">
        <v>23</v>
      </c>
      <c r="H19" s="5" t="s">
        <v>79</v>
      </c>
      <c r="I19" s="5" t="s">
        <v>80</v>
      </c>
      <c r="J19" s="5" t="s">
        <v>81</v>
      </c>
      <c r="K19" s="6">
        <v>656</v>
      </c>
      <c r="L19" s="6">
        <f t="shared" si="1"/>
        <v>9840</v>
      </c>
      <c r="M19" s="6">
        <f t="shared" si="0"/>
        <v>492</v>
      </c>
      <c r="N19" s="6">
        <f t="shared" si="2"/>
        <v>1476</v>
      </c>
    </row>
    <row r="20" spans="1:14" x14ac:dyDescent="0.2">
      <c r="A20" s="4">
        <v>44670</v>
      </c>
      <c r="B20" s="5" t="s">
        <v>33</v>
      </c>
      <c r="C20" s="5" t="s">
        <v>34</v>
      </c>
      <c r="D20" s="6">
        <v>150</v>
      </c>
      <c r="E20" s="6">
        <v>160</v>
      </c>
      <c r="F20" s="5" t="s">
        <v>72</v>
      </c>
      <c r="G20" s="5" t="s">
        <v>29</v>
      </c>
      <c r="H20" s="5" t="s">
        <v>82</v>
      </c>
      <c r="I20" s="5" t="s">
        <v>82</v>
      </c>
      <c r="J20" s="5" t="s">
        <v>83</v>
      </c>
      <c r="K20" s="6">
        <v>985</v>
      </c>
      <c r="L20" s="6">
        <f t="shared" si="1"/>
        <v>157600</v>
      </c>
      <c r="M20" s="6">
        <f t="shared" si="0"/>
        <v>7880</v>
      </c>
      <c r="N20" s="6">
        <f t="shared" si="2"/>
        <v>1970</v>
      </c>
    </row>
    <row r="21" spans="1:14" x14ac:dyDescent="0.2">
      <c r="A21" s="4">
        <v>44671</v>
      </c>
      <c r="B21" s="5" t="s">
        <v>39</v>
      </c>
      <c r="C21" s="5" t="s">
        <v>40</v>
      </c>
      <c r="D21" s="6">
        <v>50</v>
      </c>
      <c r="E21" s="6">
        <v>60</v>
      </c>
      <c r="F21" s="5" t="s">
        <v>72</v>
      </c>
      <c r="G21" s="5" t="s">
        <v>35</v>
      </c>
      <c r="H21" s="5" t="s">
        <v>62</v>
      </c>
      <c r="I21" s="5" t="s">
        <v>84</v>
      </c>
      <c r="J21" s="5" t="s">
        <v>64</v>
      </c>
      <c r="K21" s="6">
        <v>658</v>
      </c>
      <c r="L21" s="6">
        <f t="shared" si="1"/>
        <v>39480</v>
      </c>
      <c r="M21" s="6">
        <f t="shared" si="0"/>
        <v>1974</v>
      </c>
      <c r="N21" s="6">
        <f t="shared" si="2"/>
        <v>4606</v>
      </c>
    </row>
    <row r="22" spans="1:14" x14ac:dyDescent="0.2">
      <c r="A22" s="4">
        <v>44672</v>
      </c>
      <c r="B22" s="5" t="s">
        <v>14</v>
      </c>
      <c r="C22" s="5" t="s">
        <v>15</v>
      </c>
      <c r="D22" s="6">
        <v>50</v>
      </c>
      <c r="E22" s="6">
        <v>55</v>
      </c>
      <c r="F22" s="5" t="s">
        <v>85</v>
      </c>
      <c r="G22" s="5" t="s">
        <v>17</v>
      </c>
      <c r="H22" s="5" t="s">
        <v>76</v>
      </c>
      <c r="I22" s="5" t="s">
        <v>77</v>
      </c>
      <c r="J22" s="5" t="s">
        <v>86</v>
      </c>
      <c r="K22" s="6">
        <v>657</v>
      </c>
      <c r="L22" s="6">
        <f t="shared" si="1"/>
        <v>36135</v>
      </c>
      <c r="M22" s="6">
        <f t="shared" si="0"/>
        <v>1806.75</v>
      </c>
      <c r="N22" s="6">
        <f t="shared" si="2"/>
        <v>1478.25</v>
      </c>
    </row>
    <row r="23" spans="1:14" x14ac:dyDescent="0.2">
      <c r="A23" s="4">
        <v>44673</v>
      </c>
      <c r="B23" s="5" t="s">
        <v>21</v>
      </c>
      <c r="C23" s="5" t="s">
        <v>22</v>
      </c>
      <c r="D23" s="6">
        <v>15</v>
      </c>
      <c r="E23" s="6">
        <v>20</v>
      </c>
      <c r="F23" s="5" t="s">
        <v>85</v>
      </c>
      <c r="G23" s="5" t="s">
        <v>23</v>
      </c>
      <c r="H23" s="5" t="s">
        <v>79</v>
      </c>
      <c r="I23" s="5" t="s">
        <v>87</v>
      </c>
      <c r="J23" s="5" t="s">
        <v>81</v>
      </c>
      <c r="K23" s="6">
        <v>895</v>
      </c>
      <c r="L23" s="6">
        <f t="shared" si="1"/>
        <v>17900</v>
      </c>
      <c r="M23" s="6">
        <f t="shared" si="0"/>
        <v>895</v>
      </c>
      <c r="N23" s="6">
        <f t="shared" si="2"/>
        <v>3580</v>
      </c>
    </row>
    <row r="24" spans="1:14" x14ac:dyDescent="0.2">
      <c r="A24" s="4">
        <v>44674</v>
      </c>
      <c r="B24" s="5" t="s">
        <v>27</v>
      </c>
      <c r="C24" s="5" t="s">
        <v>28</v>
      </c>
      <c r="D24" s="6">
        <v>12</v>
      </c>
      <c r="E24" s="6">
        <v>15</v>
      </c>
      <c r="F24" s="5" t="s">
        <v>85</v>
      </c>
      <c r="G24" s="5" t="s">
        <v>29</v>
      </c>
      <c r="H24" s="5" t="s">
        <v>59</v>
      </c>
      <c r="I24" s="5" t="s">
        <v>88</v>
      </c>
      <c r="J24" s="5" t="s">
        <v>61</v>
      </c>
      <c r="K24" s="6">
        <v>856</v>
      </c>
      <c r="L24" s="6">
        <f t="shared" si="1"/>
        <v>12840</v>
      </c>
      <c r="M24" s="6">
        <f t="shared" si="0"/>
        <v>642</v>
      </c>
      <c r="N24" s="6">
        <f t="shared" si="2"/>
        <v>1926</v>
      </c>
    </row>
    <row r="25" spans="1:14" x14ac:dyDescent="0.2">
      <c r="A25" s="4">
        <v>44675</v>
      </c>
      <c r="B25" s="5" t="s">
        <v>33</v>
      </c>
      <c r="C25" s="5" t="s">
        <v>34</v>
      </c>
      <c r="D25" s="6">
        <v>150</v>
      </c>
      <c r="E25" s="6">
        <v>160</v>
      </c>
      <c r="F25" s="5" t="s">
        <v>85</v>
      </c>
      <c r="G25" s="5" t="s">
        <v>35</v>
      </c>
      <c r="H25" s="5" t="s">
        <v>73</v>
      </c>
      <c r="I25" s="5" t="s">
        <v>89</v>
      </c>
      <c r="J25" s="5" t="s">
        <v>75</v>
      </c>
      <c r="K25" s="6">
        <v>985</v>
      </c>
      <c r="L25" s="6">
        <f t="shared" si="1"/>
        <v>157600</v>
      </c>
      <c r="M25" s="6">
        <f t="shared" si="0"/>
        <v>7880</v>
      </c>
      <c r="N25" s="6">
        <f t="shared" si="2"/>
        <v>1970</v>
      </c>
    </row>
    <row r="26" spans="1:14" x14ac:dyDescent="0.2">
      <c r="A26" s="4">
        <v>44676</v>
      </c>
      <c r="B26" s="5" t="s">
        <v>39</v>
      </c>
      <c r="C26" s="5" t="s">
        <v>40</v>
      </c>
      <c r="D26" s="6">
        <v>50</v>
      </c>
      <c r="E26" s="6">
        <v>60</v>
      </c>
      <c r="F26" s="5" t="s">
        <v>85</v>
      </c>
      <c r="G26" s="5" t="s">
        <v>17</v>
      </c>
      <c r="H26" s="5" t="s">
        <v>90</v>
      </c>
      <c r="I26" s="5" t="s">
        <v>91</v>
      </c>
      <c r="J26" s="5" t="s">
        <v>92</v>
      </c>
      <c r="K26" s="6">
        <v>658</v>
      </c>
      <c r="L26" s="6">
        <f t="shared" si="1"/>
        <v>39480</v>
      </c>
      <c r="M26" s="6">
        <f t="shared" si="0"/>
        <v>1974</v>
      </c>
      <c r="N26" s="6">
        <f t="shared" si="2"/>
        <v>4606</v>
      </c>
    </row>
    <row r="27" spans="1:14" x14ac:dyDescent="0.2">
      <c r="A27" s="4">
        <v>44677</v>
      </c>
      <c r="B27" s="5" t="s">
        <v>14</v>
      </c>
      <c r="C27" s="5" t="s">
        <v>15</v>
      </c>
      <c r="D27" s="6">
        <v>50</v>
      </c>
      <c r="E27" s="6">
        <v>55</v>
      </c>
      <c r="F27" s="5" t="s">
        <v>93</v>
      </c>
      <c r="G27" s="5" t="s">
        <v>23</v>
      </c>
      <c r="H27" s="5" t="s">
        <v>45</v>
      </c>
      <c r="I27" s="5" t="s">
        <v>94</v>
      </c>
      <c r="J27" s="5" t="s">
        <v>47</v>
      </c>
      <c r="K27" s="6">
        <v>896</v>
      </c>
      <c r="L27" s="6">
        <f t="shared" si="1"/>
        <v>49280</v>
      </c>
      <c r="M27" s="6">
        <f t="shared" si="0"/>
        <v>2464</v>
      </c>
      <c r="N27" s="6">
        <f t="shared" si="2"/>
        <v>2016</v>
      </c>
    </row>
    <row r="28" spans="1:14" x14ac:dyDescent="0.2">
      <c r="A28" s="4">
        <v>44678</v>
      </c>
      <c r="B28" s="5" t="s">
        <v>21</v>
      </c>
      <c r="C28" s="5" t="s">
        <v>22</v>
      </c>
      <c r="D28" s="6">
        <v>15</v>
      </c>
      <c r="E28" s="6">
        <v>20</v>
      </c>
      <c r="F28" s="5" t="s">
        <v>93</v>
      </c>
      <c r="G28" s="5" t="s">
        <v>29</v>
      </c>
      <c r="H28" s="5" t="s">
        <v>48</v>
      </c>
      <c r="I28" s="5" t="s">
        <v>95</v>
      </c>
      <c r="J28" s="5" t="s">
        <v>50</v>
      </c>
      <c r="K28" s="6">
        <v>577</v>
      </c>
      <c r="L28" s="6">
        <f t="shared" si="1"/>
        <v>11540</v>
      </c>
      <c r="M28" s="6">
        <f t="shared" si="0"/>
        <v>577</v>
      </c>
      <c r="N28" s="6">
        <f t="shared" si="2"/>
        <v>2308</v>
      </c>
    </row>
    <row r="29" spans="1:14" x14ac:dyDescent="0.2">
      <c r="A29" s="4">
        <v>44679</v>
      </c>
      <c r="B29" s="5" t="s">
        <v>27</v>
      </c>
      <c r="C29" s="5" t="s">
        <v>28</v>
      </c>
      <c r="D29" s="6">
        <v>12</v>
      </c>
      <c r="E29" s="6">
        <v>15</v>
      </c>
      <c r="F29" s="5" t="s">
        <v>93</v>
      </c>
      <c r="G29" s="5" t="s">
        <v>35</v>
      </c>
      <c r="H29" s="5" t="s">
        <v>51</v>
      </c>
      <c r="I29" s="5" t="s">
        <v>96</v>
      </c>
      <c r="J29" s="5" t="s">
        <v>53</v>
      </c>
      <c r="K29" s="6">
        <v>987</v>
      </c>
      <c r="L29" s="6">
        <f t="shared" si="1"/>
        <v>14805</v>
      </c>
      <c r="M29" s="6">
        <f t="shared" si="0"/>
        <v>740.25</v>
      </c>
      <c r="N29" s="6">
        <f t="shared" si="2"/>
        <v>2220.75</v>
      </c>
    </row>
    <row r="30" spans="1:14" x14ac:dyDescent="0.2">
      <c r="A30" s="4">
        <v>44680</v>
      </c>
      <c r="B30" s="5" t="s">
        <v>33</v>
      </c>
      <c r="C30" s="5" t="s">
        <v>34</v>
      </c>
      <c r="D30" s="6">
        <v>150</v>
      </c>
      <c r="E30" s="6">
        <v>160</v>
      </c>
      <c r="F30" s="5" t="s">
        <v>93</v>
      </c>
      <c r="G30" s="5" t="s">
        <v>17</v>
      </c>
      <c r="H30" s="5" t="s">
        <v>54</v>
      </c>
      <c r="I30" s="5" t="s">
        <v>97</v>
      </c>
      <c r="J30" s="5" t="s">
        <v>56</v>
      </c>
      <c r="K30" s="6">
        <v>897</v>
      </c>
      <c r="L30" s="6">
        <f t="shared" si="1"/>
        <v>143520</v>
      </c>
      <c r="M30" s="6">
        <f t="shared" si="0"/>
        <v>7176</v>
      </c>
      <c r="N30" s="6">
        <f t="shared" si="2"/>
        <v>1794</v>
      </c>
    </row>
    <row r="31" spans="1:14" x14ac:dyDescent="0.2">
      <c r="A31" s="4">
        <v>44681</v>
      </c>
      <c r="B31" s="5" t="s">
        <v>39</v>
      </c>
      <c r="C31" s="5" t="s">
        <v>40</v>
      </c>
      <c r="D31" s="6">
        <v>50</v>
      </c>
      <c r="E31" s="6">
        <v>60</v>
      </c>
      <c r="F31" s="5" t="s">
        <v>93</v>
      </c>
      <c r="G31" s="5" t="s">
        <v>23</v>
      </c>
      <c r="H31" s="5" t="s">
        <v>45</v>
      </c>
      <c r="I31" s="5" t="s">
        <v>94</v>
      </c>
      <c r="J31" s="5" t="s">
        <v>47</v>
      </c>
      <c r="K31" s="6">
        <v>852</v>
      </c>
      <c r="L31" s="6">
        <f t="shared" si="1"/>
        <v>51120</v>
      </c>
      <c r="M31" s="6">
        <f t="shared" si="0"/>
        <v>2556</v>
      </c>
      <c r="N31" s="6">
        <f t="shared" si="2"/>
        <v>5964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3FD11-E5D9-408A-A7A1-197A92005C26}">
  <dimension ref="A3:B12"/>
  <sheetViews>
    <sheetView workbookViewId="0">
      <selection activeCell="A12" sqref="A12"/>
    </sheetView>
  </sheetViews>
  <sheetFormatPr defaultRowHeight="15" x14ac:dyDescent="0.25"/>
  <cols>
    <col min="1" max="1" width="13.140625" bestFit="1" customWidth="1"/>
    <col min="2" max="2" width="12.5703125" bestFit="1" customWidth="1"/>
  </cols>
  <sheetData>
    <row r="3" spans="1:2" x14ac:dyDescent="0.25">
      <c r="A3" s="8" t="s">
        <v>98</v>
      </c>
      <c r="B3" t="s">
        <v>100</v>
      </c>
    </row>
    <row r="4" spans="1:2" x14ac:dyDescent="0.25">
      <c r="A4" s="9" t="s">
        <v>17</v>
      </c>
      <c r="B4" s="10">
        <v>28523.25</v>
      </c>
    </row>
    <row r="5" spans="1:2" x14ac:dyDescent="0.25">
      <c r="A5" s="9" t="s">
        <v>29</v>
      </c>
      <c r="B5" s="10">
        <v>21916.5</v>
      </c>
    </row>
    <row r="6" spans="1:2" x14ac:dyDescent="0.25">
      <c r="A6" s="9" t="s">
        <v>35</v>
      </c>
      <c r="B6" s="10">
        <v>36871.75</v>
      </c>
    </row>
    <row r="7" spans="1:2" x14ac:dyDescent="0.25">
      <c r="A7" s="9" t="s">
        <v>23</v>
      </c>
      <c r="B7" s="10">
        <v>33533.5</v>
      </c>
    </row>
    <row r="8" spans="1:2" x14ac:dyDescent="0.25">
      <c r="A8" s="9" t="s">
        <v>99</v>
      </c>
      <c r="B8" s="10">
        <v>120845</v>
      </c>
    </row>
    <row r="12" spans="1:2" x14ac:dyDescent="0.25">
      <c r="A12">
        <f>GETPIVOTDATA("Profit",$A$3)</f>
        <v>120845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6EC63-4518-43C7-A3A6-5570F838D4F1}">
  <dimension ref="A3:B10"/>
  <sheetViews>
    <sheetView topLeftCell="C1" zoomScaleNormal="100" workbookViewId="0">
      <selection activeCell="P6" sqref="P6"/>
    </sheetView>
  </sheetViews>
  <sheetFormatPr defaultRowHeight="15" x14ac:dyDescent="0.25"/>
  <cols>
    <col min="1" max="1" width="13.140625" bestFit="1" customWidth="1"/>
    <col min="2" max="2" width="12.5703125" bestFit="1" customWidth="1"/>
  </cols>
  <sheetData>
    <row r="3" spans="1:2" x14ac:dyDescent="0.25">
      <c r="A3" s="8" t="s">
        <v>98</v>
      </c>
      <c r="B3" t="s">
        <v>100</v>
      </c>
    </row>
    <row r="4" spans="1:2" x14ac:dyDescent="0.25">
      <c r="A4" s="9" t="s">
        <v>16</v>
      </c>
      <c r="B4" s="10">
        <v>22800</v>
      </c>
    </row>
    <row r="5" spans="1:2" x14ac:dyDescent="0.25">
      <c r="A5" s="9" t="s">
        <v>44</v>
      </c>
      <c r="B5" s="10">
        <v>42387.5</v>
      </c>
    </row>
    <row r="6" spans="1:2" x14ac:dyDescent="0.25">
      <c r="A6" s="9" t="s">
        <v>58</v>
      </c>
      <c r="B6" s="10">
        <v>13937.5</v>
      </c>
    </row>
    <row r="7" spans="1:2" x14ac:dyDescent="0.25">
      <c r="A7" s="9" t="s">
        <v>72</v>
      </c>
      <c r="B7" s="10">
        <v>13857</v>
      </c>
    </row>
    <row r="8" spans="1:2" x14ac:dyDescent="0.25">
      <c r="A8" s="9" t="s">
        <v>85</v>
      </c>
      <c r="B8" s="10">
        <v>13560.25</v>
      </c>
    </row>
    <row r="9" spans="1:2" x14ac:dyDescent="0.25">
      <c r="A9" s="9" t="s">
        <v>93</v>
      </c>
      <c r="B9" s="10">
        <v>14302.75</v>
      </c>
    </row>
    <row r="10" spans="1:2" x14ac:dyDescent="0.25">
      <c r="A10" s="9" t="s">
        <v>99</v>
      </c>
      <c r="B10" s="10">
        <v>120845</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62EB2-07ED-49B1-8EFD-F0FDECB716CA}">
  <dimension ref="A3:C12"/>
  <sheetViews>
    <sheetView workbookViewId="0">
      <selection activeCell="C6" sqref="C6"/>
    </sheetView>
  </sheetViews>
  <sheetFormatPr defaultRowHeight="15" x14ac:dyDescent="0.25"/>
  <cols>
    <col min="1" max="1" width="13.140625" bestFit="1" customWidth="1"/>
    <col min="2" max="2" width="12.5703125" bestFit="1" customWidth="1"/>
    <col min="3" max="3" width="18" bestFit="1" customWidth="1"/>
  </cols>
  <sheetData>
    <row r="3" spans="1:3" x14ac:dyDescent="0.25">
      <c r="A3" s="8" t="s">
        <v>98</v>
      </c>
      <c r="B3" t="s">
        <v>100</v>
      </c>
      <c r="C3" t="s">
        <v>101</v>
      </c>
    </row>
    <row r="4" spans="1:3" x14ac:dyDescent="0.25">
      <c r="A4" s="9" t="s">
        <v>28</v>
      </c>
      <c r="B4" s="10">
        <v>30417.75</v>
      </c>
      <c r="C4" s="10">
        <v>202785</v>
      </c>
    </row>
    <row r="5" spans="1:3" x14ac:dyDescent="0.25">
      <c r="A5" s="9" t="s">
        <v>15</v>
      </c>
      <c r="B5" s="10">
        <v>14699.25</v>
      </c>
      <c r="C5" s="10">
        <v>359315</v>
      </c>
    </row>
    <row r="6" spans="1:3" x14ac:dyDescent="0.25">
      <c r="A6" s="9" t="s">
        <v>22</v>
      </c>
      <c r="B6" s="10">
        <v>22208</v>
      </c>
      <c r="C6" s="10">
        <v>111040</v>
      </c>
    </row>
    <row r="7" spans="1:3" x14ac:dyDescent="0.25">
      <c r="A7" s="9" t="s">
        <v>40</v>
      </c>
      <c r="B7" s="10">
        <v>42126</v>
      </c>
      <c r="C7" s="10">
        <v>361080</v>
      </c>
    </row>
    <row r="8" spans="1:3" x14ac:dyDescent="0.25">
      <c r="A8" s="9" t="s">
        <v>34</v>
      </c>
      <c r="B8" s="10">
        <v>11394</v>
      </c>
      <c r="C8" s="10">
        <v>911520</v>
      </c>
    </row>
    <row r="9" spans="1:3" x14ac:dyDescent="0.25">
      <c r="A9" s="9" t="s">
        <v>99</v>
      </c>
      <c r="B9" s="10">
        <v>120845</v>
      </c>
      <c r="C9" s="10">
        <v>1945740</v>
      </c>
    </row>
    <row r="12" spans="1:3" x14ac:dyDescent="0.25">
      <c r="C12">
        <f>GETPIVOTDATA("Sum of Sales Value",$A$3)</f>
        <v>1945740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037CD-ED17-43AA-883D-76064BCBFC1E}">
  <dimension ref="A3:B14"/>
  <sheetViews>
    <sheetView workbookViewId="0">
      <selection activeCell="K6" sqref="K6"/>
    </sheetView>
  </sheetViews>
  <sheetFormatPr defaultRowHeight="15" x14ac:dyDescent="0.25"/>
  <cols>
    <col min="1" max="1" width="13.140625" bestFit="1" customWidth="1"/>
    <col min="2" max="2" width="18" bestFit="1" customWidth="1"/>
  </cols>
  <sheetData>
    <row r="3" spans="1:2" x14ac:dyDescent="0.25">
      <c r="A3" s="8" t="s">
        <v>98</v>
      </c>
      <c r="B3" t="s">
        <v>101</v>
      </c>
    </row>
    <row r="4" spans="1:2" x14ac:dyDescent="0.25">
      <c r="A4" s="11">
        <v>44652</v>
      </c>
      <c r="B4" s="10">
        <v>110000</v>
      </c>
    </row>
    <row r="5" spans="1:2" x14ac:dyDescent="0.25">
      <c r="A5" s="11">
        <v>44655</v>
      </c>
      <c r="B5" s="10">
        <v>200000</v>
      </c>
    </row>
    <row r="6" spans="1:2" x14ac:dyDescent="0.25">
      <c r="A6" s="11">
        <v>44656</v>
      </c>
      <c r="B6" s="10">
        <v>78000</v>
      </c>
    </row>
    <row r="7" spans="1:2" x14ac:dyDescent="0.25">
      <c r="A7" s="11">
        <v>44659</v>
      </c>
      <c r="B7" s="10">
        <v>135000</v>
      </c>
    </row>
    <row r="8" spans="1:2" x14ac:dyDescent="0.25">
      <c r="A8" s="11">
        <v>44660</v>
      </c>
      <c r="B8" s="10">
        <v>128000</v>
      </c>
    </row>
    <row r="9" spans="1:2" x14ac:dyDescent="0.25">
      <c r="A9" s="11">
        <v>44661</v>
      </c>
      <c r="B9" s="10">
        <v>102000</v>
      </c>
    </row>
    <row r="10" spans="1:2" x14ac:dyDescent="0.25">
      <c r="A10" s="11">
        <v>44665</v>
      </c>
      <c r="B10" s="10">
        <v>124800</v>
      </c>
    </row>
    <row r="11" spans="1:2" x14ac:dyDescent="0.25">
      <c r="A11" s="11">
        <v>44670</v>
      </c>
      <c r="B11" s="10">
        <v>157600</v>
      </c>
    </row>
    <row r="12" spans="1:2" x14ac:dyDescent="0.25">
      <c r="A12" s="11">
        <v>44675</v>
      </c>
      <c r="B12" s="10">
        <v>157600</v>
      </c>
    </row>
    <row r="13" spans="1:2" x14ac:dyDescent="0.25">
      <c r="A13" s="11">
        <v>44680</v>
      </c>
      <c r="B13" s="10">
        <v>143520</v>
      </c>
    </row>
    <row r="14" spans="1:2" x14ac:dyDescent="0.25">
      <c r="A14" s="11" t="s">
        <v>99</v>
      </c>
      <c r="B14" s="10">
        <v>1336520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9AB03-9E1D-4F6D-A8D4-8D2A41EB3D24}">
  <dimension ref="A3:C12"/>
  <sheetViews>
    <sheetView workbookViewId="0">
      <selection activeCell="G22" sqref="G22"/>
    </sheetView>
  </sheetViews>
  <sheetFormatPr defaultRowHeight="15" x14ac:dyDescent="0.25"/>
  <cols>
    <col min="1" max="1" width="13.140625" bestFit="1" customWidth="1"/>
    <col min="2" max="2" width="18" bestFit="1" customWidth="1"/>
    <col min="3" max="3" width="12.5703125" bestFit="1" customWidth="1"/>
  </cols>
  <sheetData>
    <row r="3" spans="1:3" x14ac:dyDescent="0.25">
      <c r="A3" s="8" t="s">
        <v>98</v>
      </c>
      <c r="B3" t="s">
        <v>101</v>
      </c>
      <c r="C3" t="s">
        <v>102</v>
      </c>
    </row>
    <row r="4" spans="1:3" x14ac:dyDescent="0.25">
      <c r="A4" s="9" t="s">
        <v>37</v>
      </c>
      <c r="B4" s="10">
        <v>200000</v>
      </c>
      <c r="C4" s="10">
        <v>197500</v>
      </c>
    </row>
    <row r="5" spans="1:3" x14ac:dyDescent="0.25">
      <c r="A5" s="9" t="s">
        <v>97</v>
      </c>
      <c r="B5" s="10">
        <v>143520</v>
      </c>
      <c r="C5" s="10">
        <v>141726</v>
      </c>
    </row>
    <row r="6" spans="1:3" x14ac:dyDescent="0.25">
      <c r="A6" s="9" t="s">
        <v>82</v>
      </c>
      <c r="B6" s="10">
        <v>157600</v>
      </c>
      <c r="C6" s="10">
        <v>155630</v>
      </c>
    </row>
    <row r="7" spans="1:3" x14ac:dyDescent="0.25">
      <c r="A7" s="9" t="s">
        <v>52</v>
      </c>
      <c r="B7" s="10">
        <v>135000</v>
      </c>
      <c r="C7" s="10">
        <v>114750</v>
      </c>
    </row>
    <row r="8" spans="1:3" x14ac:dyDescent="0.25">
      <c r="A8" s="9" t="s">
        <v>89</v>
      </c>
      <c r="B8" s="10">
        <v>157600</v>
      </c>
      <c r="C8" s="10">
        <v>155630</v>
      </c>
    </row>
    <row r="9" spans="1:3" x14ac:dyDescent="0.25">
      <c r="A9" s="9" t="s">
        <v>99</v>
      </c>
      <c r="B9" s="10">
        <v>793720</v>
      </c>
      <c r="C9" s="10">
        <v>765236</v>
      </c>
    </row>
    <row r="12" spans="1:3" x14ac:dyDescent="0.25">
      <c r="C12">
        <f>GETPIVOTDATA("Sum of COST ",$A$3)</f>
        <v>765236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864F5-88D1-403C-8057-4144A3225CE2}">
  <dimension ref="A3:E12"/>
  <sheetViews>
    <sheetView workbookViewId="0">
      <selection activeCell="E8" sqref="E8"/>
    </sheetView>
  </sheetViews>
  <sheetFormatPr defaultRowHeight="15" x14ac:dyDescent="0.25"/>
  <cols>
    <col min="1" max="1" width="13.140625" bestFit="1" customWidth="1"/>
    <col min="2" max="2" width="12.5703125" bestFit="1" customWidth="1"/>
    <col min="4" max="4" width="11.42578125" bestFit="1" customWidth="1"/>
  </cols>
  <sheetData>
    <row r="3" spans="1:5" x14ac:dyDescent="0.25">
      <c r="A3" s="8" t="s">
        <v>98</v>
      </c>
      <c r="B3" t="s">
        <v>100</v>
      </c>
    </row>
    <row r="4" spans="1:5" x14ac:dyDescent="0.25">
      <c r="A4" s="9" t="s">
        <v>40</v>
      </c>
      <c r="B4" s="20">
        <v>42126</v>
      </c>
    </row>
    <row r="5" spans="1:5" x14ac:dyDescent="0.25">
      <c r="A5" s="9" t="s">
        <v>28</v>
      </c>
      <c r="B5" s="20">
        <v>30417.75</v>
      </c>
    </row>
    <row r="6" spans="1:5" ht="15.75" x14ac:dyDescent="0.25">
      <c r="A6" s="9" t="s">
        <v>22</v>
      </c>
      <c r="B6" s="20">
        <v>22208</v>
      </c>
      <c r="D6" s="21" t="str">
        <f>IFERROR(A4,"-")</f>
        <v>Pepsodent</v>
      </c>
      <c r="E6" s="22">
        <f>IFERROR(B4,"-")</f>
        <v>42126</v>
      </c>
    </row>
    <row r="7" spans="1:5" ht="15.75" x14ac:dyDescent="0.25">
      <c r="A7" s="9" t="s">
        <v>15</v>
      </c>
      <c r="B7" s="20">
        <v>14699.25</v>
      </c>
      <c r="D7" s="21" t="str">
        <f t="shared" ref="D7:E8" si="0">IFERROR(A5,"-")</f>
        <v>Cello Pen</v>
      </c>
      <c r="E7" s="22">
        <f t="shared" si="0"/>
        <v>30417.75</v>
      </c>
    </row>
    <row r="8" spans="1:5" ht="15.75" x14ac:dyDescent="0.25">
      <c r="A8" s="9" t="s">
        <v>34</v>
      </c>
      <c r="B8" s="20">
        <v>11394</v>
      </c>
      <c r="D8" s="21" t="str">
        <f t="shared" si="0"/>
        <v>Lux</v>
      </c>
      <c r="E8" s="22">
        <f t="shared" si="0"/>
        <v>22208</v>
      </c>
    </row>
    <row r="9" spans="1:5" x14ac:dyDescent="0.25">
      <c r="A9" s="9" t="s">
        <v>99</v>
      </c>
      <c r="B9" s="10">
        <v>120845</v>
      </c>
    </row>
    <row r="10" spans="1:5" x14ac:dyDescent="0.25">
      <c r="D10" t="str">
        <f t="shared" ref="D10:E12" si="1">D6</f>
        <v>Pepsodent</v>
      </c>
      <c r="E10" s="20">
        <f t="shared" si="1"/>
        <v>42126</v>
      </c>
    </row>
    <row r="11" spans="1:5" x14ac:dyDescent="0.25">
      <c r="D11" t="str">
        <f t="shared" si="1"/>
        <v>Cello Pen</v>
      </c>
      <c r="E11" s="20">
        <f t="shared" si="1"/>
        <v>30417.75</v>
      </c>
    </row>
    <row r="12" spans="1:5" x14ac:dyDescent="0.25">
      <c r="D12" t="str">
        <f t="shared" si="1"/>
        <v>Lux</v>
      </c>
      <c r="E12" s="20">
        <f t="shared" si="1"/>
        <v>22208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657FE-02E7-4235-B08B-EC3220A67D87}">
  <dimension ref="A1:T35"/>
  <sheetViews>
    <sheetView tabSelected="1" topLeftCell="A4" zoomScale="72" workbookViewId="0">
      <selection activeCell="U9" sqref="U9"/>
    </sheetView>
  </sheetViews>
  <sheetFormatPr defaultRowHeight="15" x14ac:dyDescent="0.25"/>
  <cols>
    <col min="1" max="1" width="9.140625" style="13"/>
    <col min="2" max="2" width="9.140625" style="13" customWidth="1"/>
    <col min="3" max="5" width="9.140625" style="13"/>
    <col min="6" max="6" width="9.7109375" style="13" customWidth="1"/>
    <col min="7" max="7" width="11.28515625" style="13" customWidth="1"/>
    <col min="8" max="19" width="9.140625" style="13"/>
    <col min="20" max="20" width="9.140625" style="16"/>
    <col min="21" max="16384" width="9.140625" style="13"/>
  </cols>
  <sheetData>
    <row r="1" spans="1:20" ht="19.5" customHeight="1" thickBot="1" x14ac:dyDescent="0.45">
      <c r="A1" s="12"/>
      <c r="B1" s="12"/>
      <c r="C1" s="17" t="s">
        <v>105</v>
      </c>
      <c r="D1" s="18"/>
      <c r="E1" s="19"/>
      <c r="F1" s="27" t="s">
        <v>103</v>
      </c>
      <c r="G1" s="28"/>
      <c r="H1" s="27" t="s">
        <v>104</v>
      </c>
      <c r="I1" s="28"/>
      <c r="J1" s="14"/>
      <c r="K1" s="23" t="s">
        <v>106</v>
      </c>
      <c r="L1" s="23"/>
      <c r="M1" s="23"/>
      <c r="N1" s="23"/>
      <c r="O1" s="23"/>
      <c r="P1" s="23"/>
      <c r="Q1" s="23"/>
      <c r="R1" s="12"/>
      <c r="S1" s="12"/>
      <c r="T1" s="12"/>
    </row>
    <row r="2" spans="1:20" ht="15.75" customHeight="1" thickBot="1" x14ac:dyDescent="0.3">
      <c r="A2" s="12"/>
      <c r="B2" s="12"/>
      <c r="C2" s="24">
        <f>'KPI1'!A12</f>
        <v>120845</v>
      </c>
      <c r="D2" s="25"/>
      <c r="E2" s="26"/>
      <c r="F2" s="24">
        <f>'KPI3'!C12</f>
        <v>1945740</v>
      </c>
      <c r="G2" s="26"/>
      <c r="H2" s="24">
        <f>'KPI5'!C12</f>
        <v>765236</v>
      </c>
      <c r="I2" s="26"/>
      <c r="J2" s="12"/>
      <c r="K2" s="23"/>
      <c r="L2" s="23"/>
      <c r="M2" s="23"/>
      <c r="N2" s="23"/>
      <c r="O2" s="23"/>
      <c r="P2" s="23"/>
      <c r="Q2" s="23"/>
      <c r="R2" s="12"/>
      <c r="S2" s="12"/>
      <c r="T2" s="12"/>
    </row>
    <row r="3" spans="1:20" x14ac:dyDescent="0.25">
      <c r="A3" s="12"/>
      <c r="B3" s="12"/>
      <c r="C3" s="12"/>
      <c r="D3" s="15"/>
      <c r="E3" s="15"/>
      <c r="F3" s="15"/>
      <c r="G3" s="15"/>
      <c r="H3" s="15"/>
      <c r="I3" s="12"/>
      <c r="J3" s="12"/>
      <c r="K3" s="12"/>
      <c r="L3" s="12"/>
      <c r="M3" s="12"/>
      <c r="N3" s="12"/>
      <c r="O3" s="12"/>
      <c r="P3" s="12"/>
      <c r="Q3" s="12"/>
      <c r="R3" s="12"/>
      <c r="S3" s="12"/>
      <c r="T3" s="12"/>
    </row>
    <row r="4" spans="1:20" x14ac:dyDescent="0.25">
      <c r="A4" s="12"/>
      <c r="B4" s="12"/>
      <c r="C4" s="12"/>
      <c r="D4" s="12"/>
      <c r="E4" s="12"/>
      <c r="F4" s="12"/>
      <c r="G4" s="12"/>
      <c r="H4" s="12"/>
      <c r="I4" s="12"/>
      <c r="J4" s="12"/>
      <c r="K4" s="12"/>
      <c r="L4" s="12"/>
      <c r="M4" s="12"/>
      <c r="N4" s="12"/>
      <c r="O4" s="12"/>
      <c r="P4" s="12"/>
      <c r="Q4" s="12"/>
      <c r="R4" s="12"/>
      <c r="S4" s="12"/>
      <c r="T4" s="12"/>
    </row>
    <row r="5" spans="1:20" x14ac:dyDescent="0.25">
      <c r="A5" s="12"/>
      <c r="B5" s="12"/>
      <c r="C5" s="12"/>
      <c r="D5" s="12"/>
      <c r="E5" s="12"/>
      <c r="F5" s="12"/>
      <c r="G5" s="12"/>
      <c r="H5" s="12"/>
      <c r="I5" s="12"/>
      <c r="J5" s="12"/>
      <c r="K5" s="12"/>
      <c r="L5" s="12"/>
      <c r="M5" s="12"/>
      <c r="N5" s="12"/>
      <c r="O5" s="12"/>
      <c r="P5" s="12"/>
      <c r="Q5" s="12"/>
      <c r="R5" s="12"/>
      <c r="S5" s="12"/>
      <c r="T5" s="12"/>
    </row>
    <row r="6" spans="1:20" x14ac:dyDescent="0.25">
      <c r="A6" s="12"/>
      <c r="B6" s="12"/>
      <c r="C6" s="12"/>
      <c r="D6" s="12"/>
      <c r="E6" s="12"/>
      <c r="F6" s="12"/>
      <c r="G6" s="12"/>
      <c r="H6" s="12"/>
      <c r="I6" s="12"/>
      <c r="J6" s="12"/>
      <c r="K6" s="12"/>
      <c r="L6" s="12"/>
      <c r="M6" s="12"/>
      <c r="N6" s="12"/>
      <c r="O6" s="12"/>
      <c r="P6" s="12"/>
      <c r="Q6" s="12"/>
      <c r="R6" s="12"/>
      <c r="S6" s="12"/>
      <c r="T6" s="12"/>
    </row>
    <row r="7" spans="1:20" x14ac:dyDescent="0.25">
      <c r="A7" s="12"/>
      <c r="B7" s="12"/>
      <c r="C7" s="12"/>
      <c r="D7" s="12"/>
      <c r="E7" s="12"/>
      <c r="F7" s="12"/>
      <c r="G7" s="12"/>
      <c r="H7" s="12"/>
      <c r="I7" s="12"/>
      <c r="J7" s="12"/>
      <c r="K7" s="12"/>
      <c r="L7" s="12"/>
      <c r="M7" s="12"/>
      <c r="N7" s="12"/>
      <c r="O7" s="12"/>
      <c r="P7" s="12"/>
      <c r="Q7" s="12"/>
      <c r="R7" s="12"/>
      <c r="S7" s="12"/>
      <c r="T7" s="12"/>
    </row>
    <row r="8" spans="1:20" x14ac:dyDescent="0.25">
      <c r="A8" s="12"/>
      <c r="B8" s="12"/>
      <c r="C8" s="12"/>
      <c r="D8" s="12"/>
      <c r="E8" s="12"/>
      <c r="F8" s="12"/>
      <c r="G8" s="12"/>
      <c r="H8" s="12"/>
      <c r="I8" s="12"/>
      <c r="J8" s="12"/>
      <c r="K8" s="12"/>
      <c r="L8" s="12"/>
      <c r="M8" s="12"/>
      <c r="N8" s="12"/>
      <c r="O8" s="12"/>
      <c r="P8" s="12"/>
      <c r="Q8" s="12"/>
      <c r="R8" s="12"/>
      <c r="S8" s="12"/>
      <c r="T8" s="12"/>
    </row>
    <row r="9" spans="1:20" x14ac:dyDescent="0.25">
      <c r="A9" s="12"/>
      <c r="B9" s="12"/>
      <c r="C9" s="12"/>
      <c r="D9" s="12"/>
      <c r="E9" s="12"/>
      <c r="F9" s="12"/>
      <c r="G9" s="12"/>
      <c r="H9" s="12"/>
      <c r="I9" s="12"/>
      <c r="J9" s="12"/>
      <c r="K9" s="12"/>
      <c r="L9" s="12"/>
      <c r="M9" s="12"/>
      <c r="N9" s="12"/>
      <c r="O9" s="12"/>
      <c r="P9" s="12"/>
      <c r="Q9" s="12"/>
      <c r="R9" s="12"/>
      <c r="S9" s="12"/>
      <c r="T9" s="12"/>
    </row>
    <row r="10" spans="1:20" x14ac:dyDescent="0.25">
      <c r="A10" s="12"/>
      <c r="B10" s="12"/>
      <c r="C10" s="12"/>
      <c r="D10" s="12"/>
      <c r="E10" s="12"/>
      <c r="F10" s="12"/>
      <c r="G10" s="12"/>
      <c r="H10" s="12"/>
      <c r="I10" s="12"/>
      <c r="J10" s="12"/>
      <c r="K10" s="12"/>
      <c r="L10" s="12"/>
      <c r="M10" s="12"/>
      <c r="N10" s="12"/>
      <c r="O10" s="12"/>
      <c r="P10" s="12"/>
      <c r="Q10" s="12"/>
      <c r="R10" s="12"/>
      <c r="S10" s="12"/>
      <c r="T10" s="12"/>
    </row>
    <row r="11" spans="1:20" x14ac:dyDescent="0.25">
      <c r="A11" s="12"/>
      <c r="B11" s="12"/>
      <c r="C11" s="12"/>
      <c r="D11" s="12"/>
      <c r="E11" s="12"/>
      <c r="F11" s="12"/>
      <c r="G11" s="12"/>
      <c r="H11" s="12"/>
      <c r="I11" s="12"/>
      <c r="J11" s="12"/>
      <c r="K11" s="12"/>
      <c r="L11" s="12"/>
      <c r="M11" s="12"/>
      <c r="N11" s="12"/>
      <c r="O11" s="12"/>
      <c r="P11" s="12"/>
      <c r="Q11" s="12"/>
      <c r="R11" s="12"/>
      <c r="S11" s="12"/>
      <c r="T11" s="12"/>
    </row>
    <row r="12" spans="1:20" x14ac:dyDescent="0.25">
      <c r="A12" s="12"/>
      <c r="B12" s="12"/>
      <c r="C12" s="12"/>
      <c r="D12" s="12"/>
      <c r="E12" s="12"/>
      <c r="F12" s="12"/>
      <c r="G12" s="12"/>
      <c r="H12" s="12"/>
      <c r="I12" s="12"/>
      <c r="J12" s="12"/>
      <c r="K12" s="12"/>
      <c r="L12" s="12"/>
      <c r="M12" s="12"/>
      <c r="N12" s="12"/>
      <c r="O12" s="12"/>
      <c r="P12" s="12"/>
      <c r="Q12" s="12"/>
      <c r="R12" s="12"/>
      <c r="S12" s="12"/>
      <c r="T12" s="12"/>
    </row>
    <row r="13" spans="1:20" x14ac:dyDescent="0.25">
      <c r="A13" s="12"/>
      <c r="B13" s="12"/>
      <c r="C13" s="12"/>
      <c r="D13" s="12"/>
      <c r="E13" s="12"/>
      <c r="F13" s="12"/>
      <c r="G13" s="12"/>
      <c r="H13" s="12"/>
      <c r="I13" s="12"/>
      <c r="J13" s="12"/>
      <c r="K13" s="12"/>
      <c r="L13" s="12"/>
      <c r="M13" s="12"/>
      <c r="N13" s="12"/>
      <c r="O13" s="12"/>
      <c r="P13" s="12"/>
      <c r="Q13" s="12"/>
      <c r="R13" s="12"/>
      <c r="S13" s="12"/>
      <c r="T13" s="12"/>
    </row>
    <row r="14" spans="1:20" x14ac:dyDescent="0.25">
      <c r="A14" s="12"/>
      <c r="B14" s="12"/>
      <c r="C14" s="12"/>
      <c r="D14" s="12"/>
      <c r="E14" s="12"/>
      <c r="F14" s="12"/>
      <c r="G14" s="12"/>
      <c r="H14" s="12"/>
      <c r="I14" s="12"/>
      <c r="J14" s="12"/>
      <c r="K14" s="12"/>
      <c r="L14" s="12"/>
      <c r="M14" s="12"/>
      <c r="N14" s="12"/>
      <c r="O14" s="12"/>
      <c r="P14" s="12"/>
      <c r="Q14" s="12"/>
      <c r="R14" s="12"/>
      <c r="S14" s="12"/>
      <c r="T14" s="12"/>
    </row>
    <row r="15" spans="1:20" x14ac:dyDescent="0.25">
      <c r="A15" s="12"/>
      <c r="B15" s="12"/>
      <c r="C15" s="12"/>
      <c r="D15" s="12"/>
      <c r="E15" s="12"/>
      <c r="F15" s="12"/>
      <c r="G15" s="12"/>
      <c r="H15" s="12"/>
      <c r="I15" s="12"/>
      <c r="J15" s="12"/>
      <c r="K15" s="12"/>
      <c r="L15" s="12"/>
      <c r="M15" s="12"/>
      <c r="N15" s="12"/>
      <c r="O15" s="12"/>
      <c r="P15" s="12"/>
      <c r="Q15" s="12"/>
      <c r="R15" s="12"/>
      <c r="S15" s="12"/>
      <c r="T15" s="12"/>
    </row>
    <row r="16" spans="1:20" x14ac:dyDescent="0.25">
      <c r="A16" s="12"/>
      <c r="B16" s="12"/>
      <c r="C16" s="12"/>
      <c r="D16" s="12"/>
      <c r="E16" s="12"/>
      <c r="F16" s="12"/>
      <c r="G16" s="12"/>
      <c r="H16" s="12"/>
      <c r="I16" s="12"/>
      <c r="J16" s="12"/>
      <c r="K16" s="12"/>
      <c r="L16" s="12"/>
      <c r="M16" s="12"/>
      <c r="N16" s="12"/>
      <c r="O16" s="12"/>
      <c r="P16" s="12"/>
      <c r="Q16" s="12"/>
      <c r="R16" s="12"/>
      <c r="S16" s="12"/>
      <c r="T16" s="12"/>
    </row>
    <row r="17" spans="1:20" x14ac:dyDescent="0.25">
      <c r="A17" s="12"/>
      <c r="B17" s="12"/>
      <c r="C17" s="12"/>
      <c r="D17" s="12"/>
      <c r="E17" s="12"/>
      <c r="F17" s="12"/>
      <c r="G17" s="12"/>
      <c r="H17" s="12"/>
      <c r="I17" s="12"/>
      <c r="J17" s="12"/>
      <c r="K17" s="12"/>
      <c r="L17" s="12"/>
      <c r="M17" s="12"/>
      <c r="N17" s="12"/>
      <c r="O17" s="12"/>
      <c r="P17" s="12"/>
      <c r="Q17" s="12"/>
      <c r="R17" s="12"/>
      <c r="S17" s="12"/>
      <c r="T17" s="12"/>
    </row>
    <row r="18" spans="1:20" x14ac:dyDescent="0.25">
      <c r="A18" s="12"/>
      <c r="B18" s="12"/>
      <c r="C18" s="12"/>
      <c r="D18" s="12"/>
      <c r="E18" s="12"/>
      <c r="F18" s="12"/>
      <c r="G18" s="12"/>
      <c r="H18" s="12"/>
      <c r="I18" s="12"/>
      <c r="J18" s="12"/>
      <c r="K18" s="12"/>
      <c r="L18" s="12"/>
      <c r="M18" s="12"/>
      <c r="N18" s="12"/>
      <c r="O18" s="12"/>
      <c r="P18" s="12"/>
      <c r="Q18" s="12"/>
      <c r="R18" s="12"/>
      <c r="S18" s="12"/>
      <c r="T18" s="12"/>
    </row>
    <row r="19" spans="1:20" x14ac:dyDescent="0.25">
      <c r="A19" s="12"/>
      <c r="B19" s="12"/>
      <c r="C19" s="12"/>
      <c r="D19" s="12"/>
      <c r="E19" s="12"/>
      <c r="F19" s="12"/>
      <c r="G19" s="12"/>
      <c r="H19" s="12"/>
      <c r="I19" s="12"/>
      <c r="J19" s="12"/>
      <c r="K19" s="12"/>
      <c r="L19" s="12"/>
      <c r="M19" s="12"/>
      <c r="N19" s="12"/>
      <c r="O19" s="12"/>
      <c r="P19" s="12"/>
      <c r="Q19" s="12"/>
      <c r="R19" s="12"/>
      <c r="S19" s="12"/>
      <c r="T19" s="12"/>
    </row>
    <row r="20" spans="1:20" x14ac:dyDescent="0.25">
      <c r="A20" s="12"/>
      <c r="B20" s="12"/>
      <c r="C20" s="12"/>
      <c r="D20" s="12"/>
      <c r="E20" s="12"/>
      <c r="F20" s="12"/>
      <c r="G20" s="12"/>
      <c r="H20" s="12"/>
      <c r="I20" s="12"/>
      <c r="J20" s="12"/>
      <c r="K20" s="12"/>
      <c r="L20" s="12"/>
      <c r="M20" s="12"/>
      <c r="N20" s="12"/>
      <c r="O20" s="12"/>
      <c r="P20" s="12"/>
      <c r="Q20" s="12"/>
      <c r="R20" s="12"/>
      <c r="S20" s="12"/>
      <c r="T20" s="12"/>
    </row>
    <row r="21" spans="1:20" x14ac:dyDescent="0.25">
      <c r="A21" s="12"/>
      <c r="B21" s="12"/>
      <c r="C21" s="12"/>
      <c r="D21" s="12"/>
      <c r="E21" s="12"/>
      <c r="F21" s="12"/>
      <c r="G21" s="12"/>
      <c r="H21" s="12"/>
      <c r="I21" s="12"/>
      <c r="J21" s="12"/>
      <c r="K21" s="12"/>
      <c r="L21" s="12"/>
      <c r="M21" s="12"/>
      <c r="N21" s="12"/>
      <c r="O21" s="12"/>
      <c r="P21" s="12"/>
      <c r="Q21" s="12"/>
      <c r="R21" s="12"/>
      <c r="S21" s="12"/>
      <c r="T21" s="12"/>
    </row>
    <row r="22" spans="1:20" x14ac:dyDescent="0.25">
      <c r="A22" s="12"/>
      <c r="B22" s="12"/>
      <c r="C22" s="12"/>
      <c r="D22" s="12"/>
      <c r="E22" s="12"/>
      <c r="F22" s="12"/>
      <c r="G22" s="12"/>
      <c r="H22" s="12"/>
      <c r="I22" s="12"/>
      <c r="J22" s="12"/>
      <c r="K22" s="12"/>
      <c r="L22" s="12"/>
      <c r="M22" s="12"/>
      <c r="N22" s="12"/>
      <c r="O22" s="12"/>
      <c r="P22" s="12"/>
      <c r="Q22" s="12"/>
      <c r="R22" s="12"/>
      <c r="S22" s="12"/>
      <c r="T22" s="12"/>
    </row>
    <row r="23" spans="1:20" x14ac:dyDescent="0.25">
      <c r="A23" s="12"/>
      <c r="B23" s="12"/>
      <c r="C23" s="12"/>
      <c r="D23" s="12"/>
      <c r="E23" s="12"/>
      <c r="F23" s="12"/>
      <c r="G23" s="12"/>
      <c r="H23" s="12"/>
      <c r="I23" s="12"/>
      <c r="J23" s="12"/>
      <c r="K23" s="12"/>
      <c r="L23" s="12"/>
      <c r="M23" s="12"/>
      <c r="N23" s="12"/>
      <c r="O23" s="12"/>
      <c r="P23" s="12"/>
      <c r="Q23" s="12"/>
      <c r="R23" s="12"/>
      <c r="S23" s="12"/>
      <c r="T23" s="12"/>
    </row>
    <row r="24" spans="1:20" x14ac:dyDescent="0.25">
      <c r="A24" s="12"/>
      <c r="B24" s="12"/>
      <c r="C24" s="12"/>
      <c r="D24" s="12"/>
      <c r="E24" s="12"/>
      <c r="F24" s="12"/>
      <c r="G24" s="12"/>
      <c r="H24" s="12"/>
      <c r="I24" s="12"/>
      <c r="J24" s="12"/>
      <c r="K24" s="12"/>
      <c r="L24" s="12"/>
      <c r="M24" s="12"/>
      <c r="N24" s="12"/>
      <c r="O24" s="12"/>
      <c r="P24" s="12"/>
      <c r="Q24" s="12"/>
      <c r="R24" s="12"/>
      <c r="S24" s="12"/>
      <c r="T24" s="12"/>
    </row>
    <row r="25" spans="1:20" x14ac:dyDescent="0.25">
      <c r="A25" s="12"/>
      <c r="B25" s="12"/>
      <c r="C25" s="12"/>
      <c r="D25" s="12"/>
      <c r="E25" s="12"/>
      <c r="F25" s="12"/>
      <c r="G25" s="12"/>
      <c r="H25" s="12"/>
      <c r="I25" s="12"/>
      <c r="J25" s="12"/>
      <c r="K25" s="12"/>
      <c r="L25" s="12"/>
      <c r="M25" s="12"/>
      <c r="N25" s="12"/>
      <c r="O25" s="12"/>
      <c r="P25" s="12"/>
      <c r="Q25" s="12"/>
      <c r="R25" s="12"/>
      <c r="S25" s="12"/>
      <c r="T25" s="12"/>
    </row>
    <row r="26" spans="1:20" x14ac:dyDescent="0.25">
      <c r="A26" s="12"/>
      <c r="B26" s="12"/>
      <c r="C26" s="12"/>
      <c r="D26" s="12"/>
      <c r="E26" s="12"/>
      <c r="F26" s="12"/>
      <c r="G26" s="12"/>
      <c r="H26" s="12"/>
      <c r="I26" s="12"/>
      <c r="J26" s="12"/>
      <c r="K26" s="12"/>
      <c r="L26" s="12"/>
      <c r="M26" s="12"/>
      <c r="N26" s="12"/>
      <c r="O26" s="12"/>
      <c r="P26" s="12"/>
      <c r="Q26" s="12"/>
      <c r="R26" s="12"/>
      <c r="S26" s="12"/>
      <c r="T26" s="12"/>
    </row>
    <row r="27" spans="1:20" x14ac:dyDescent="0.25">
      <c r="A27" s="12"/>
      <c r="B27" s="12"/>
      <c r="C27" s="12"/>
      <c r="D27" s="12"/>
      <c r="E27" s="12"/>
      <c r="F27" s="12"/>
      <c r="G27" s="12"/>
      <c r="H27" s="12"/>
      <c r="I27" s="12"/>
      <c r="J27" s="12"/>
      <c r="K27" s="12"/>
      <c r="L27" s="12"/>
      <c r="M27" s="12"/>
      <c r="N27" s="12"/>
      <c r="O27" s="12"/>
      <c r="P27" s="12"/>
      <c r="Q27" s="12"/>
      <c r="R27" s="12"/>
      <c r="S27" s="12"/>
      <c r="T27" s="12"/>
    </row>
    <row r="28" spans="1:20" x14ac:dyDescent="0.25">
      <c r="A28" s="12"/>
      <c r="B28" s="12"/>
      <c r="C28" s="12"/>
      <c r="D28" s="12"/>
      <c r="E28" s="12"/>
      <c r="F28" s="12"/>
      <c r="G28" s="12"/>
      <c r="H28" s="12"/>
      <c r="I28" s="12"/>
      <c r="J28" s="12"/>
      <c r="K28" s="12"/>
      <c r="L28" s="12"/>
      <c r="M28" s="12"/>
      <c r="N28" s="12"/>
      <c r="O28" s="12"/>
      <c r="P28" s="12"/>
      <c r="Q28" s="12"/>
      <c r="R28" s="12"/>
      <c r="S28" s="12"/>
      <c r="T28" s="12"/>
    </row>
    <row r="29" spans="1:20" x14ac:dyDescent="0.25">
      <c r="A29" s="12"/>
      <c r="B29" s="12"/>
      <c r="C29" s="12"/>
      <c r="D29" s="12"/>
      <c r="E29" s="12"/>
      <c r="F29" s="12"/>
      <c r="G29" s="12"/>
      <c r="H29" s="12"/>
      <c r="I29" s="12"/>
      <c r="J29" s="12"/>
      <c r="K29" s="12"/>
      <c r="L29" s="12"/>
      <c r="M29" s="12"/>
      <c r="N29" s="12"/>
      <c r="O29" s="12"/>
      <c r="P29" s="12"/>
      <c r="Q29" s="12"/>
      <c r="R29" s="12"/>
      <c r="S29" s="12"/>
      <c r="T29" s="12"/>
    </row>
    <row r="30" spans="1:20" x14ac:dyDescent="0.25">
      <c r="A30" s="12"/>
      <c r="B30" s="12"/>
      <c r="C30" s="12"/>
      <c r="D30" s="12"/>
      <c r="E30" s="12"/>
      <c r="F30" s="12"/>
      <c r="G30" s="12"/>
      <c r="H30" s="12"/>
      <c r="I30" s="12"/>
      <c r="J30" s="12"/>
      <c r="K30" s="12"/>
      <c r="L30" s="12"/>
      <c r="M30" s="12"/>
      <c r="N30" s="12"/>
      <c r="O30" s="12"/>
      <c r="P30" s="12"/>
      <c r="Q30" s="12"/>
      <c r="R30" s="12"/>
      <c r="S30" s="12"/>
      <c r="T30" s="12"/>
    </row>
    <row r="31" spans="1:20" x14ac:dyDescent="0.25">
      <c r="A31" s="12"/>
      <c r="B31" s="12"/>
      <c r="C31" s="12"/>
      <c r="D31" s="12"/>
      <c r="E31" s="12"/>
      <c r="F31" s="12"/>
      <c r="G31" s="12"/>
      <c r="H31" s="12"/>
      <c r="I31" s="12"/>
      <c r="J31" s="12"/>
      <c r="K31" s="12"/>
      <c r="L31" s="12"/>
      <c r="M31" s="12"/>
      <c r="N31" s="12"/>
      <c r="O31" s="12"/>
      <c r="P31" s="12"/>
      <c r="Q31" s="12"/>
      <c r="R31" s="12"/>
      <c r="S31" s="12"/>
      <c r="T31" s="12"/>
    </row>
    <row r="32" spans="1:20" x14ac:dyDescent="0.25">
      <c r="A32" s="12"/>
      <c r="B32" s="12"/>
      <c r="C32" s="12"/>
      <c r="D32" s="12"/>
      <c r="E32" s="12"/>
      <c r="F32" s="12"/>
      <c r="G32" s="12"/>
      <c r="H32" s="12"/>
      <c r="I32" s="12"/>
      <c r="J32" s="12"/>
      <c r="K32" s="12"/>
      <c r="L32" s="12"/>
      <c r="M32" s="12"/>
      <c r="N32" s="12"/>
      <c r="O32" s="12"/>
      <c r="P32" s="12"/>
      <c r="Q32" s="12"/>
      <c r="R32" s="12"/>
      <c r="S32" s="12"/>
      <c r="T32" s="12"/>
    </row>
    <row r="33" spans="1:20" x14ac:dyDescent="0.25">
      <c r="A33" s="12"/>
      <c r="B33" s="12"/>
      <c r="C33" s="12"/>
      <c r="D33" s="12"/>
      <c r="E33" s="12"/>
      <c r="F33" s="12"/>
      <c r="G33" s="12"/>
      <c r="H33" s="12"/>
      <c r="I33" s="12"/>
      <c r="J33" s="12"/>
      <c r="K33" s="12"/>
      <c r="L33" s="12"/>
      <c r="M33" s="12"/>
      <c r="N33" s="12"/>
      <c r="O33" s="12"/>
      <c r="P33" s="12"/>
      <c r="Q33" s="12"/>
      <c r="R33" s="12"/>
      <c r="S33" s="12"/>
      <c r="T33" s="12"/>
    </row>
    <row r="34" spans="1:20" x14ac:dyDescent="0.25">
      <c r="A34" s="12"/>
      <c r="B34" s="12"/>
      <c r="C34" s="12"/>
      <c r="D34" s="12"/>
      <c r="E34" s="12"/>
      <c r="F34" s="12"/>
      <c r="G34" s="12"/>
      <c r="H34" s="12"/>
      <c r="I34" s="12"/>
      <c r="J34" s="12"/>
      <c r="K34" s="12"/>
      <c r="L34" s="12"/>
      <c r="M34" s="12"/>
      <c r="N34" s="12"/>
      <c r="O34" s="12"/>
      <c r="P34" s="12"/>
      <c r="Q34" s="12"/>
      <c r="R34" s="12"/>
      <c r="S34" s="12"/>
      <c r="T34" s="12"/>
    </row>
    <row r="35" spans="1:20" x14ac:dyDescent="0.25">
      <c r="A35" s="12"/>
      <c r="B35" s="12"/>
      <c r="C35" s="12"/>
      <c r="D35" s="12"/>
      <c r="E35" s="12"/>
      <c r="F35" s="12"/>
      <c r="G35" s="12"/>
      <c r="H35" s="12"/>
      <c r="I35" s="12"/>
      <c r="J35" s="12"/>
      <c r="K35" s="12"/>
      <c r="L35" s="12"/>
      <c r="M35" s="12"/>
      <c r="N35" s="12"/>
      <c r="O35" s="12"/>
      <c r="P35" s="12"/>
      <c r="Q35" s="12"/>
      <c r="R35" s="12"/>
      <c r="S35" s="12"/>
      <c r="T35" s="12"/>
    </row>
  </sheetData>
  <mergeCells count="6">
    <mergeCell ref="K1:Q2"/>
    <mergeCell ref="C2:E2"/>
    <mergeCell ref="F2:G2"/>
    <mergeCell ref="H2:I2"/>
    <mergeCell ref="F1:G1"/>
    <mergeCell ref="H1:I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RELIENCE DATASET </vt:lpstr>
      <vt:lpstr>KPI1</vt:lpstr>
      <vt:lpstr>KPI2</vt:lpstr>
      <vt:lpstr>KPI3</vt:lpstr>
      <vt:lpstr>KPI4</vt:lpstr>
      <vt:lpstr>KPI5</vt:lpstr>
      <vt:lpstr>KPI6</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PRAJWAL RATNAPARKHI</dc:creator>
  <cp:lastModifiedBy>PRAJWAL RATNAPARKHI</cp:lastModifiedBy>
  <dcterms:created xsi:type="dcterms:W3CDTF">2025-06-21T09:21:38Z</dcterms:created>
  <dcterms:modified xsi:type="dcterms:W3CDTF">2025-08-10T06:27:02Z</dcterms:modified>
</cp:coreProperties>
</file>